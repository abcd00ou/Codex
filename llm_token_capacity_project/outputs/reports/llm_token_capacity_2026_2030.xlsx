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'01_Benchmark_Input'!$A$1:$M$10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'03_Calculation'!$A$1:$Z$181</definedName>
    <definedName name="_xlnm._FilterDatabase" localSheetId="6" hidden="1">'05_Checks'!$A$1:$C$8</definedName>
    <definedName name="_xlnm._FilterDatabase" localSheetId="8" hidden="1">'07_Source_Registry'!$A$1:$I$62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GPU mix는 `02_GPU_Mix_Input`에서 나중에 교체 가능합니다.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fleet_reference_tps_per_mw = H200_share*H200_ref + B200_share*B200_ref + GB200_share*GB200_ref + purpose_built_share*purpose_ref</t>
        </is>
      </c>
    </row>
    <row r="7" ht="30" customHeight="1">
      <c r="A7" s="2" t="inlineStr">
        <is>
          <t>Step 4</t>
        </is>
      </c>
      <c r="B7" s="3" t="inlineStr">
        <is>
          <t>serving_tps_per_mw = fleet_reference_tps_per_mw * commercial_workload_fit_factor</t>
        </is>
      </c>
    </row>
    <row r="8" ht="30" customHeight="1">
      <c r="A8" s="2" t="inlineStr">
        <is>
          <t>Step 5</t>
        </is>
      </c>
      <c r="B8" s="3" t="inlineStr">
        <is>
          <t>generated_output_tokens_per_day = inference_gw * 1,000 * serving_tps_per_mw * 86,400</t>
        </is>
      </c>
    </row>
    <row r="9" ht="30" customHeight="1">
      <c r="A9" s="2" t="inlineStr">
        <is>
          <t>GPU mix rule</t>
        </is>
      </c>
      <c r="B9" s="3" t="inlineStr">
        <is>
          <t>H200/B200/GB200/purpose-built share의 합은 100%이며, 같은 inference MW 내 구성 차이가 token capacity를 바꿉니다.</t>
        </is>
      </c>
    </row>
    <row r="10" ht="30" customHeight="1">
      <c r="A10" s="2" t="inlineStr">
        <is>
          <t>Benchmark rule</t>
        </is>
      </c>
      <c r="B10" s="3" t="inlineStr">
        <is>
          <t>InferenceX output_tok_s_mw p50; model별 main_framework/main_precision 고정 + single_turn / ISL 1024 / OSL 1024. 50행 미만/미존재 조합은 B200 placeholder로 시작합니다.</t>
        </is>
      </c>
    </row>
    <row r="11" ht="30" customHeight="1">
      <c r="A11" s="2" t="inlineStr">
        <is>
          <t>Purpose-built rule</t>
        </is>
      </c>
      <c r="B11" s="3" t="inlineStr">
        <is>
          <t>Comparable TPS/MW가 없으면 B200 placeholder를 사용하며 사용자 입력으로 교체합니다.</t>
        </is>
      </c>
    </row>
    <row r="12" ht="30" customHeight="1">
      <c r="A12" s="2" t="inlineStr">
        <is>
          <t>Excluded</t>
        </is>
      </c>
      <c r="B12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13" customWidth="1" min="3" max="3"/>
    <col width="24" customWidth="1" min="4" max="4"/>
    <col width="52" customWidth="1" min="5" max="5"/>
    <col width="24" customWidth="1" min="6" max="6"/>
    <col width="42" customWidth="1" min="7" max="7"/>
    <col width="25" customWidth="1" min="8" max="8"/>
    <col width="58" customWidth="1" min="9" max="9"/>
    <col width="30" customWidth="1" min="10" max="10"/>
    <col width="17" customWidth="1" min="11" max="11"/>
    <col width="17" customWidth="1" min="12" max="12"/>
    <col width="17" customWidth="1" min="13" max="13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h200_reference_tps_per_mw</t>
        </is>
      </c>
      <c r="E1" s="4" t="inlineStr">
        <is>
          <t>h200_status</t>
        </is>
      </c>
      <c r="F1" s="4" t="inlineStr">
        <is>
          <t>b200_reference_tps_per_mw</t>
        </is>
      </c>
      <c r="G1" s="4" t="inlineStr">
        <is>
          <t>b200_status</t>
        </is>
      </c>
      <c r="H1" s="4" t="inlineStr">
        <is>
          <t>gb200_reference_tps_per_mw</t>
        </is>
      </c>
      <c r="I1" s="4" t="inlineStr">
        <is>
          <t>gb200_status</t>
        </is>
      </c>
      <c r="J1" s="4" t="inlineStr">
        <is>
          <t>purpose_built_reference_tps_per_mw</t>
        </is>
      </c>
      <c r="K1" s="4" t="inlineStr">
        <is>
          <t>bear_fit_factor</t>
        </is>
      </c>
      <c r="L1" s="4" t="inlineStr">
        <is>
          <t>base_fit_factor</t>
        </is>
      </c>
      <c r="M1" s="4" t="inlineStr">
        <is>
          <t>bull_fit_factor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369518</v>
      </c>
      <c r="E2" s="3" t="inlineStr">
        <is>
          <t>Public reference selected</t>
        </is>
      </c>
      <c r="F2" s="5" t="n">
        <v>723458</v>
      </c>
      <c r="G2" s="3" t="inlineStr">
        <is>
          <t>Public reference selected</t>
        </is>
      </c>
      <c r="H2" s="5" t="n">
        <v>723458</v>
      </c>
      <c r="I2" s="3" t="inlineStr">
        <is>
          <t>B200 placeholder - insufficient/missing matched rows; editable input</t>
        </is>
      </c>
      <c r="J2" s="5" t="n">
        <v>723458</v>
      </c>
      <c r="K2" s="6" t="n">
        <v>0.4</v>
      </c>
      <c r="L2" s="6" t="n">
        <v>0.6</v>
      </c>
      <c r="M2" s="6" t="n">
        <v>0.8</v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369518</v>
      </c>
      <c r="E3" s="3" t="inlineStr">
        <is>
          <t>Public reference selected</t>
        </is>
      </c>
      <c r="F3" s="5" t="n">
        <v>723458</v>
      </c>
      <c r="G3" s="3" t="inlineStr">
        <is>
          <t>Public reference selected</t>
        </is>
      </c>
      <c r="H3" s="5" t="n">
        <v>723458</v>
      </c>
      <c r="I3" s="3" t="inlineStr">
        <is>
          <t>B200 placeholder - insufficient/missing matched rows; editable input</t>
        </is>
      </c>
      <c r="J3" s="5" t="n">
        <v>723458</v>
      </c>
      <c r="K3" s="6" t="n">
        <v>0.4</v>
      </c>
      <c r="L3" s="6" t="n">
        <v>0.6</v>
      </c>
      <c r="M3" s="6" t="n">
        <v>0.8</v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202722</v>
      </c>
      <c r="E4" s="3" t="inlineStr">
        <is>
          <t>Public reference selected</t>
        </is>
      </c>
      <c r="F4" s="5" t="n">
        <v>200857</v>
      </c>
      <c r="G4" s="3" t="inlineStr">
        <is>
          <t>Public reference selected</t>
        </is>
      </c>
      <c r="H4" s="5" t="n">
        <v>200857</v>
      </c>
      <c r="I4" s="3" t="inlineStr">
        <is>
          <t>B200 placeholder - insufficient/missing matched rows; editable input</t>
        </is>
      </c>
      <c r="J4" s="5" t="n">
        <v>200857</v>
      </c>
      <c r="K4" s="6" t="n">
        <v>0.75</v>
      </c>
      <c r="L4" s="6" t="n">
        <v>0.9</v>
      </c>
      <c r="M4" s="6" t="n">
        <v>1</v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369518</v>
      </c>
      <c r="E5" s="3" t="inlineStr">
        <is>
          <t>Public reference selected</t>
        </is>
      </c>
      <c r="F5" s="5" t="n">
        <v>723458</v>
      </c>
      <c r="G5" s="3" t="inlineStr">
        <is>
          <t>Public reference selected</t>
        </is>
      </c>
      <c r="H5" s="5" t="n">
        <v>723458</v>
      </c>
      <c r="I5" s="3" t="inlineStr">
        <is>
          <t>B200 placeholder - insufficient/missing matched rows; editable input</t>
        </is>
      </c>
      <c r="J5" s="5" t="n">
        <v>723458</v>
      </c>
      <c r="K5" s="6" t="n">
        <v>0.35</v>
      </c>
      <c r="L5" s="6" t="n">
        <v>0.55</v>
      </c>
      <c r="M5" s="6" t="n">
        <v>0.75</v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369518</v>
      </c>
      <c r="E6" s="3" t="inlineStr">
        <is>
          <t>Public reference selected</t>
        </is>
      </c>
      <c r="F6" s="5" t="n">
        <v>723458</v>
      </c>
      <c r="G6" s="3" t="inlineStr">
        <is>
          <t>Public reference selected</t>
        </is>
      </c>
      <c r="H6" s="5" t="n">
        <v>723458</v>
      </c>
      <c r="I6" s="3" t="inlineStr">
        <is>
          <t>B200 placeholder - insufficient/missing matched rows; editable input</t>
        </is>
      </c>
      <c r="J6" s="5" t="n">
        <v>723458</v>
      </c>
      <c r="K6" s="6" t="n">
        <v>0.3</v>
      </c>
      <c r="L6" s="6" t="n">
        <v>0.5</v>
      </c>
      <c r="M6" s="6" t="n">
        <v>0.7</v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369518</v>
      </c>
      <c r="E7" s="3" t="inlineStr">
        <is>
          <t>Public reference selected</t>
        </is>
      </c>
      <c r="F7" s="5" t="n">
        <v>723458</v>
      </c>
      <c r="G7" s="3" t="inlineStr">
        <is>
          <t>Public reference selected</t>
        </is>
      </c>
      <c r="H7" s="5" t="n">
        <v>723458</v>
      </c>
      <c r="I7" s="3" t="inlineStr">
        <is>
          <t>B200 placeholder - insufficient/missing matched rows; editable input</t>
        </is>
      </c>
      <c r="J7" s="5" t="n">
        <v>723458</v>
      </c>
      <c r="K7" s="6" t="n">
        <v>0.3</v>
      </c>
      <c r="L7" s="6" t="n">
        <v>0.5</v>
      </c>
      <c r="M7" s="6" t="n">
        <v>0.7</v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62631</v>
      </c>
      <c r="E8" s="3" t="inlineStr">
        <is>
          <t>Public reference selected</t>
        </is>
      </c>
      <c r="F8" s="5" t="n">
        <v>65077</v>
      </c>
      <c r="G8" s="3" t="inlineStr">
        <is>
          <t>Public reference selected</t>
        </is>
      </c>
      <c r="H8" s="5" t="n">
        <v>65077</v>
      </c>
      <c r="I8" s="3" t="inlineStr">
        <is>
          <t>B200 placeholder - insufficient/missing matched rows; editable input</t>
        </is>
      </c>
      <c r="J8" s="5" t="n">
        <v>65077</v>
      </c>
      <c r="K8" s="6" t="n">
        <v>0.65</v>
      </c>
      <c r="L8" s="6" t="n">
        <v>0.85</v>
      </c>
      <c r="M8" s="6" t="n">
        <v>1</v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89934</v>
      </c>
      <c r="E9" s="3" t="inlineStr">
        <is>
          <t>Public reference selected</t>
        </is>
      </c>
      <c r="F9" s="5" t="n">
        <v>178342</v>
      </c>
      <c r="G9" s="3" t="inlineStr">
        <is>
          <t>Public reference selected</t>
        </is>
      </c>
      <c r="H9" s="5" t="n">
        <v>178342</v>
      </c>
      <c r="I9" s="3" t="inlineStr">
        <is>
          <t>B200 placeholder - insufficient/missing matched rows; editable input</t>
        </is>
      </c>
      <c r="J9" s="5" t="n">
        <v>178342</v>
      </c>
      <c r="K9" s="6" t="n">
        <v>0.7</v>
      </c>
      <c r="L9" s="6" t="n">
        <v>0.9</v>
      </c>
      <c r="M9" s="6" t="n">
        <v>1</v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369518</v>
      </c>
      <c r="E10" s="3" t="inlineStr">
        <is>
          <t>Public reference selected</t>
        </is>
      </c>
      <c r="F10" s="5" t="n">
        <v>723458</v>
      </c>
      <c r="G10" s="3" t="inlineStr">
        <is>
          <t>Public reference selected</t>
        </is>
      </c>
      <c r="H10" s="5" t="n">
        <v>723458</v>
      </c>
      <c r="I10" s="3" t="inlineStr">
        <is>
          <t>B200 placeholder - insufficient/missing matched rows; editable input</t>
        </is>
      </c>
      <c r="J10" s="5" t="n">
        <v>723458</v>
      </c>
      <c r="K10" s="6" t="n">
        <v>0.4</v>
      </c>
      <c r="L10" s="6" t="n">
        <v>0.6</v>
      </c>
      <c r="M10" s="6" t="n">
        <v>0.8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9">
        <f>INDEX('01_Benchmark_Input'!$B$2:$B$10,MATCH(B2,'01_Benchmark_Input'!$A$2:$A$10,0))</f>
        <v/>
      </c>
      <c r="J2" s="9">
        <f>INDEX('01_Benchmark_Input'!$C$2:$C$10,MATCH(B2,'01_Benchmark_Input'!$A$2:$A$10,0))</f>
        <v/>
      </c>
      <c r="K2" s="10">
        <f>IF(A2="Bear",INDEX('01_Benchmark_Input'!$K$2:$K$10,MATCH(B2,'01_Benchmark_Input'!$A$2:$A$10,0)),IF(A2="Bull",INDEX('01_Benchmark_Input'!$M$2:$M$10,MATCH(B2,'01_Benchmark_Input'!$A$2:$A$10,0)),INDEX('01_Benchmark_Input'!$L$2:$L$10,MATCH(B2,'01_Benchmark_Input'!$A$2:$A$10,0))))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9">
        <f>INDEX('01_Benchmark_Input'!$B$2:$B$10,MATCH(B3,'01_Benchmark_Input'!$A$2:$A$10,0))</f>
        <v/>
      </c>
      <c r="J3" s="9">
        <f>INDEX('01_Benchmark_Input'!$C$2:$C$10,MATCH(B3,'01_Benchmark_Input'!$A$2:$A$10,0))</f>
        <v/>
      </c>
      <c r="K3" s="10">
        <f>IF(A3="Bear",INDEX('01_Benchmark_Input'!$K$2:$K$10,MATCH(B3,'01_Benchmark_Input'!$A$2:$A$10,0)),IF(A3="Bull",INDEX('01_Benchmark_Input'!$M$2:$M$10,MATCH(B3,'01_Benchmark_Input'!$A$2:$A$10,0)),INDEX('01_Benchmark_Input'!$L$2:$L$10,MATCH(B3,'01_Benchmark_Input'!$A$2:$A$10,0))))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9">
        <f>INDEX('01_Benchmark_Input'!$B$2:$B$10,MATCH(B4,'01_Benchmark_Input'!$A$2:$A$10,0))</f>
        <v/>
      </c>
      <c r="J4" s="9">
        <f>INDEX('01_Benchmark_Input'!$C$2:$C$10,MATCH(B4,'01_Benchmark_Input'!$A$2:$A$10,0))</f>
        <v/>
      </c>
      <c r="K4" s="10">
        <f>IF(A4="Bear",INDEX('01_Benchmark_Input'!$K$2:$K$10,MATCH(B4,'01_Benchmark_Input'!$A$2:$A$10,0)),IF(A4="Bull",INDEX('01_Benchmark_Input'!$M$2:$M$10,MATCH(B4,'01_Benchmark_Input'!$A$2:$A$10,0)),INDEX('01_Benchmark_Input'!$L$2:$L$10,MATCH(B4,'01_Benchmark_Input'!$A$2:$A$10,0))))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9">
        <f>INDEX('01_Benchmark_Input'!$B$2:$B$10,MATCH(B5,'01_Benchmark_Input'!$A$2:$A$10,0))</f>
        <v/>
      </c>
      <c r="J5" s="9">
        <f>INDEX('01_Benchmark_Input'!$C$2:$C$10,MATCH(B5,'01_Benchmark_Input'!$A$2:$A$10,0))</f>
        <v/>
      </c>
      <c r="K5" s="10">
        <f>IF(A5="Bear",INDEX('01_Benchmark_Input'!$K$2:$K$10,MATCH(B5,'01_Benchmark_Input'!$A$2:$A$10,0)),IF(A5="Bull",INDEX('01_Benchmark_Input'!$M$2:$M$10,MATCH(B5,'01_Benchmark_Input'!$A$2:$A$10,0)),INDEX('01_Benchmark_Input'!$L$2:$L$10,MATCH(B5,'01_Benchmark_Input'!$A$2:$A$10,0))))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9">
        <f>INDEX('01_Benchmark_Input'!$B$2:$B$10,MATCH(B6,'01_Benchmark_Input'!$A$2:$A$10,0))</f>
        <v/>
      </c>
      <c r="J6" s="9">
        <f>INDEX('01_Benchmark_Input'!$C$2:$C$10,MATCH(B6,'01_Benchmark_Input'!$A$2:$A$10,0))</f>
        <v/>
      </c>
      <c r="K6" s="10">
        <f>IF(A6="Bear",INDEX('01_Benchmark_Input'!$K$2:$K$10,MATCH(B6,'01_Benchmark_Input'!$A$2:$A$10,0)),IF(A6="Bull",INDEX('01_Benchmark_Input'!$M$2:$M$10,MATCH(B6,'01_Benchmark_Input'!$A$2:$A$10,0)),INDEX('01_Benchmark_Input'!$L$2:$L$10,MATCH(B6,'01_Benchmark_Input'!$A$2:$A$10,0))))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9">
        <f>INDEX('01_Benchmark_Input'!$B$2:$B$10,MATCH(B7,'01_Benchmark_Input'!$A$2:$A$10,0))</f>
        <v/>
      </c>
      <c r="J7" s="9">
        <f>INDEX('01_Benchmark_Input'!$C$2:$C$10,MATCH(B7,'01_Benchmark_Input'!$A$2:$A$10,0))</f>
        <v/>
      </c>
      <c r="K7" s="10">
        <f>IF(A7="Bear",INDEX('01_Benchmark_Input'!$K$2:$K$10,MATCH(B7,'01_Benchmark_Input'!$A$2:$A$10,0)),IF(A7="Bull",INDEX('01_Benchmark_Input'!$M$2:$M$10,MATCH(B7,'01_Benchmark_Input'!$A$2:$A$10,0)),INDEX('01_Benchmark_Input'!$L$2:$L$10,MATCH(B7,'01_Benchmark_Input'!$A$2:$A$10,0))))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9">
        <f>INDEX('01_Benchmark_Input'!$B$2:$B$10,MATCH(B8,'01_Benchmark_Input'!$A$2:$A$10,0))</f>
        <v/>
      </c>
      <c r="J8" s="9">
        <f>INDEX('01_Benchmark_Input'!$C$2:$C$10,MATCH(B8,'01_Benchmark_Input'!$A$2:$A$10,0))</f>
        <v/>
      </c>
      <c r="K8" s="10">
        <f>IF(A8="Bear",INDEX('01_Benchmark_Input'!$K$2:$K$10,MATCH(B8,'01_Benchmark_Input'!$A$2:$A$10,0)),IF(A8="Bull",INDEX('01_Benchmark_Input'!$M$2:$M$10,MATCH(B8,'01_Benchmark_Input'!$A$2:$A$10,0)),INDEX('01_Benchmark_Input'!$L$2:$L$10,MATCH(B8,'01_Benchmark_Input'!$A$2:$A$10,0))))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9">
        <f>INDEX('01_Benchmark_Input'!$B$2:$B$10,MATCH(B9,'01_Benchmark_Input'!$A$2:$A$10,0))</f>
        <v/>
      </c>
      <c r="J9" s="9">
        <f>INDEX('01_Benchmark_Input'!$C$2:$C$10,MATCH(B9,'01_Benchmark_Input'!$A$2:$A$10,0))</f>
        <v/>
      </c>
      <c r="K9" s="10">
        <f>IF(A9="Bear",INDEX('01_Benchmark_Input'!$K$2:$K$10,MATCH(B9,'01_Benchmark_Input'!$A$2:$A$10,0)),IF(A9="Bull",INDEX('01_Benchmark_Input'!$M$2:$M$10,MATCH(B9,'01_Benchmark_Input'!$A$2:$A$10,0)),INDEX('01_Benchmark_Input'!$L$2:$L$10,MATCH(B9,'01_Benchmark_Input'!$A$2:$A$10,0))))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9">
        <f>INDEX('01_Benchmark_Input'!$B$2:$B$10,MATCH(B10,'01_Benchmark_Input'!$A$2:$A$10,0))</f>
        <v/>
      </c>
      <c r="J10" s="9">
        <f>INDEX('01_Benchmark_Input'!$C$2:$C$10,MATCH(B10,'01_Benchmark_Input'!$A$2:$A$10,0))</f>
        <v/>
      </c>
      <c r="K10" s="10">
        <f>IF(A10="Bear",INDEX('01_Benchmark_Input'!$K$2:$K$10,MATCH(B10,'01_Benchmark_Input'!$A$2:$A$10,0)),IF(A10="Bull",INDEX('01_Benchmark_Input'!$M$2:$M$10,MATCH(B10,'01_Benchmark_Input'!$A$2:$A$10,0)),INDEX('01_Benchmark_Input'!$L$2:$L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9">
        <f>INDEX('01_Benchmark_Input'!$B$2:$B$10,MATCH(B11,'01_Benchmark_Input'!$A$2:$A$10,0))</f>
        <v/>
      </c>
      <c r="J11" s="9">
        <f>INDEX('01_Benchmark_Input'!$C$2:$C$10,MATCH(B11,'01_Benchmark_Input'!$A$2:$A$10,0))</f>
        <v/>
      </c>
      <c r="K11" s="10">
        <f>IF(A11="Bear",INDEX('01_Benchmark_Input'!$K$2:$K$10,MATCH(B11,'01_Benchmark_Input'!$A$2:$A$10,0)),IF(A11="Bull",INDEX('01_Benchmark_Input'!$M$2:$M$10,MATCH(B11,'01_Benchmark_Input'!$A$2:$A$10,0)),INDEX('01_Benchmark_Input'!$L$2:$L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9">
        <f>INDEX('01_Benchmark_Input'!$B$2:$B$10,MATCH(B12,'01_Benchmark_Input'!$A$2:$A$10,0))</f>
        <v/>
      </c>
      <c r="J12" s="9">
        <f>INDEX('01_Benchmark_Input'!$C$2:$C$10,MATCH(B12,'01_Benchmark_Input'!$A$2:$A$10,0))</f>
        <v/>
      </c>
      <c r="K12" s="10">
        <f>IF(A12="Bear",INDEX('01_Benchmark_Input'!$K$2:$K$10,MATCH(B12,'01_Benchmark_Input'!$A$2:$A$10,0)),IF(A12="Bull",INDEX('01_Benchmark_Input'!$M$2:$M$10,MATCH(B12,'01_Benchmark_Input'!$A$2:$A$10,0)),INDEX('01_Benchmark_Input'!$L$2:$L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9">
        <f>INDEX('01_Benchmark_Input'!$B$2:$B$10,MATCH(B13,'01_Benchmark_Input'!$A$2:$A$10,0))</f>
        <v/>
      </c>
      <c r="J13" s="9">
        <f>INDEX('01_Benchmark_Input'!$C$2:$C$10,MATCH(B13,'01_Benchmark_Input'!$A$2:$A$10,0))</f>
        <v/>
      </c>
      <c r="K13" s="10">
        <f>IF(A13="Bear",INDEX('01_Benchmark_Input'!$K$2:$K$10,MATCH(B13,'01_Benchmark_Input'!$A$2:$A$10,0)),IF(A13="Bull",INDEX('01_Benchmark_Input'!$M$2:$M$10,MATCH(B13,'01_Benchmark_Input'!$A$2:$A$10,0)),INDEX('01_Benchmark_Input'!$L$2:$L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9">
        <f>INDEX('01_Benchmark_Input'!$B$2:$B$10,MATCH(B14,'01_Benchmark_Input'!$A$2:$A$10,0))</f>
        <v/>
      </c>
      <c r="J14" s="9">
        <f>INDEX('01_Benchmark_Input'!$C$2:$C$10,MATCH(B14,'01_Benchmark_Input'!$A$2:$A$10,0))</f>
        <v/>
      </c>
      <c r="K14" s="10">
        <f>IF(A14="Bear",INDEX('01_Benchmark_Input'!$K$2:$K$10,MATCH(B14,'01_Benchmark_Input'!$A$2:$A$10,0)),IF(A14="Bull",INDEX('01_Benchmark_Input'!$M$2:$M$10,MATCH(B14,'01_Benchmark_Input'!$A$2:$A$10,0)),INDEX('01_Benchmark_Input'!$L$2:$L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9">
        <f>INDEX('01_Benchmark_Input'!$B$2:$B$10,MATCH(B15,'01_Benchmark_Input'!$A$2:$A$10,0))</f>
        <v/>
      </c>
      <c r="J15" s="9">
        <f>INDEX('01_Benchmark_Input'!$C$2:$C$10,MATCH(B15,'01_Benchmark_Input'!$A$2:$A$10,0))</f>
        <v/>
      </c>
      <c r="K15" s="10">
        <f>IF(A15="Bear",INDEX('01_Benchmark_Input'!$K$2:$K$10,MATCH(B15,'01_Benchmark_Input'!$A$2:$A$10,0)),IF(A15="Bull",INDEX('01_Benchmark_Input'!$M$2:$M$10,MATCH(B15,'01_Benchmark_Input'!$A$2:$A$10,0)),INDEX('01_Benchmark_Input'!$L$2:$L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9">
        <f>INDEX('01_Benchmark_Input'!$B$2:$B$10,MATCH(B16,'01_Benchmark_Input'!$A$2:$A$10,0))</f>
        <v/>
      </c>
      <c r="J16" s="9">
        <f>INDEX('01_Benchmark_Input'!$C$2:$C$10,MATCH(B16,'01_Benchmark_Input'!$A$2:$A$10,0))</f>
        <v/>
      </c>
      <c r="K16" s="10">
        <f>IF(A16="Bear",INDEX('01_Benchmark_Input'!$K$2:$K$10,MATCH(B16,'01_Benchmark_Input'!$A$2:$A$10,0)),IF(A16="Bull",INDEX('01_Benchmark_Input'!$M$2:$M$10,MATCH(B16,'01_Benchmark_Input'!$A$2:$A$10,0)),INDEX('01_Benchmark_Input'!$L$2:$L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9">
        <f>INDEX('01_Benchmark_Input'!$B$2:$B$10,MATCH(B17,'01_Benchmark_Input'!$A$2:$A$10,0))</f>
        <v/>
      </c>
      <c r="J17" s="9">
        <f>INDEX('01_Benchmark_Input'!$C$2:$C$10,MATCH(B17,'01_Benchmark_Input'!$A$2:$A$10,0))</f>
        <v/>
      </c>
      <c r="K17" s="10">
        <f>IF(A17="Bear",INDEX('01_Benchmark_Input'!$K$2:$K$10,MATCH(B17,'01_Benchmark_Input'!$A$2:$A$10,0)),IF(A17="Bull",INDEX('01_Benchmark_Input'!$M$2:$M$10,MATCH(B17,'01_Benchmark_Input'!$A$2:$A$10,0)),INDEX('01_Benchmark_Input'!$L$2:$L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9">
        <f>INDEX('01_Benchmark_Input'!$B$2:$B$10,MATCH(B18,'01_Benchmark_Input'!$A$2:$A$10,0))</f>
        <v/>
      </c>
      <c r="J18" s="9">
        <f>INDEX('01_Benchmark_Input'!$C$2:$C$10,MATCH(B18,'01_Benchmark_Input'!$A$2:$A$10,0))</f>
        <v/>
      </c>
      <c r="K18" s="10">
        <f>IF(A18="Bear",INDEX('01_Benchmark_Input'!$K$2:$K$10,MATCH(B18,'01_Benchmark_Input'!$A$2:$A$10,0)),IF(A18="Bull",INDEX('01_Benchmark_Input'!$M$2:$M$10,MATCH(B18,'01_Benchmark_Input'!$A$2:$A$10,0)),INDEX('01_Benchmark_Input'!$L$2:$L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9">
        <f>INDEX('01_Benchmark_Input'!$B$2:$B$10,MATCH(B19,'01_Benchmark_Input'!$A$2:$A$10,0))</f>
        <v/>
      </c>
      <c r="J19" s="9">
        <f>INDEX('01_Benchmark_Input'!$C$2:$C$10,MATCH(B19,'01_Benchmark_Input'!$A$2:$A$10,0))</f>
        <v/>
      </c>
      <c r="K19" s="10">
        <f>IF(A19="Bear",INDEX('01_Benchmark_Input'!$K$2:$K$10,MATCH(B19,'01_Benchmark_Input'!$A$2:$A$10,0)),IF(A19="Bull",INDEX('01_Benchmark_Input'!$M$2:$M$10,MATCH(B19,'01_Benchmark_Input'!$A$2:$A$10,0)),INDEX('01_Benchmark_Input'!$L$2:$L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9">
        <f>INDEX('01_Benchmark_Input'!$B$2:$B$10,MATCH(B20,'01_Benchmark_Input'!$A$2:$A$10,0))</f>
        <v/>
      </c>
      <c r="J20" s="9">
        <f>INDEX('01_Benchmark_Input'!$C$2:$C$10,MATCH(B20,'01_Benchmark_Input'!$A$2:$A$10,0))</f>
        <v/>
      </c>
      <c r="K20" s="10">
        <f>IF(A20="Bear",INDEX('01_Benchmark_Input'!$K$2:$K$10,MATCH(B20,'01_Benchmark_Input'!$A$2:$A$10,0)),IF(A20="Bull",INDEX('01_Benchmark_Input'!$M$2:$M$10,MATCH(B20,'01_Benchmark_Input'!$A$2:$A$10,0)),INDEX('01_Benchmark_Input'!$L$2:$L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9">
        <f>INDEX('01_Benchmark_Input'!$B$2:$B$10,MATCH(B21,'01_Benchmark_Input'!$A$2:$A$10,0))</f>
        <v/>
      </c>
      <c r="J21" s="9">
        <f>INDEX('01_Benchmark_Input'!$C$2:$C$10,MATCH(B21,'01_Benchmark_Input'!$A$2:$A$10,0))</f>
        <v/>
      </c>
      <c r="K21" s="10">
        <f>IF(A21="Bear",INDEX('01_Benchmark_Input'!$K$2:$K$10,MATCH(B21,'01_Benchmark_Input'!$A$2:$A$10,0)),IF(A21="Bull",INDEX('01_Benchmark_Input'!$M$2:$M$10,MATCH(B21,'01_Benchmark_Input'!$A$2:$A$10,0)),INDEX('01_Benchmark_Input'!$L$2:$L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9">
        <f>INDEX('01_Benchmark_Input'!$B$2:$B$10,MATCH(B22,'01_Benchmark_Input'!$A$2:$A$10,0))</f>
        <v/>
      </c>
      <c r="J22" s="9">
        <f>INDEX('01_Benchmark_Input'!$C$2:$C$10,MATCH(B22,'01_Benchmark_Input'!$A$2:$A$10,0))</f>
        <v/>
      </c>
      <c r="K22" s="10">
        <f>IF(A22="Bear",INDEX('01_Benchmark_Input'!$K$2:$K$10,MATCH(B22,'01_Benchmark_Input'!$A$2:$A$10,0)),IF(A22="Bull",INDEX('01_Benchmark_Input'!$M$2:$M$10,MATCH(B22,'01_Benchmark_Input'!$A$2:$A$10,0)),INDEX('01_Benchmark_Input'!$L$2:$L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9">
        <f>INDEX('01_Benchmark_Input'!$B$2:$B$10,MATCH(B23,'01_Benchmark_Input'!$A$2:$A$10,0))</f>
        <v/>
      </c>
      <c r="J23" s="9">
        <f>INDEX('01_Benchmark_Input'!$C$2:$C$10,MATCH(B23,'01_Benchmark_Input'!$A$2:$A$10,0))</f>
        <v/>
      </c>
      <c r="K23" s="10">
        <f>IF(A23="Bear",INDEX('01_Benchmark_Input'!$K$2:$K$10,MATCH(B23,'01_Benchmark_Input'!$A$2:$A$10,0)),IF(A23="Bull",INDEX('01_Benchmark_Input'!$M$2:$M$10,MATCH(B23,'01_Benchmark_Input'!$A$2:$A$10,0)),INDEX('01_Benchmark_Input'!$L$2:$L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9">
        <f>INDEX('01_Benchmark_Input'!$B$2:$B$10,MATCH(B24,'01_Benchmark_Input'!$A$2:$A$10,0))</f>
        <v/>
      </c>
      <c r="J24" s="9">
        <f>INDEX('01_Benchmark_Input'!$C$2:$C$10,MATCH(B24,'01_Benchmark_Input'!$A$2:$A$10,0))</f>
        <v/>
      </c>
      <c r="K24" s="10">
        <f>IF(A24="Bear",INDEX('01_Benchmark_Input'!$K$2:$K$10,MATCH(B24,'01_Benchmark_Input'!$A$2:$A$10,0)),IF(A24="Bull",INDEX('01_Benchmark_Input'!$M$2:$M$10,MATCH(B24,'01_Benchmark_Input'!$A$2:$A$10,0)),INDEX('01_Benchmark_Input'!$L$2:$L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9">
        <f>INDEX('01_Benchmark_Input'!$B$2:$B$10,MATCH(B25,'01_Benchmark_Input'!$A$2:$A$10,0))</f>
        <v/>
      </c>
      <c r="J25" s="9">
        <f>INDEX('01_Benchmark_Input'!$C$2:$C$10,MATCH(B25,'01_Benchmark_Input'!$A$2:$A$10,0))</f>
        <v/>
      </c>
      <c r="K25" s="10">
        <f>IF(A25="Bear",INDEX('01_Benchmark_Input'!$K$2:$K$10,MATCH(B25,'01_Benchmark_Input'!$A$2:$A$10,0)),IF(A25="Bull",INDEX('01_Benchmark_Input'!$M$2:$M$10,MATCH(B25,'01_Benchmark_Input'!$A$2:$A$10,0)),INDEX('01_Benchmark_Input'!$L$2:$L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9">
        <f>INDEX('01_Benchmark_Input'!$B$2:$B$10,MATCH(B26,'01_Benchmark_Input'!$A$2:$A$10,0))</f>
        <v/>
      </c>
      <c r="J26" s="9">
        <f>INDEX('01_Benchmark_Input'!$C$2:$C$10,MATCH(B26,'01_Benchmark_Input'!$A$2:$A$10,0))</f>
        <v/>
      </c>
      <c r="K26" s="10">
        <f>IF(A26="Bear",INDEX('01_Benchmark_Input'!$K$2:$K$10,MATCH(B26,'01_Benchmark_Input'!$A$2:$A$10,0)),IF(A26="Bull",INDEX('01_Benchmark_Input'!$M$2:$M$10,MATCH(B26,'01_Benchmark_Input'!$A$2:$A$10,0)),INDEX('01_Benchmark_Input'!$L$2:$L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9">
        <f>INDEX('01_Benchmark_Input'!$B$2:$B$10,MATCH(B27,'01_Benchmark_Input'!$A$2:$A$10,0))</f>
        <v/>
      </c>
      <c r="J27" s="9">
        <f>INDEX('01_Benchmark_Input'!$C$2:$C$10,MATCH(B27,'01_Benchmark_Input'!$A$2:$A$10,0))</f>
        <v/>
      </c>
      <c r="K27" s="10">
        <f>IF(A27="Bear",INDEX('01_Benchmark_Input'!$K$2:$K$10,MATCH(B27,'01_Benchmark_Input'!$A$2:$A$10,0)),IF(A27="Bull",INDEX('01_Benchmark_Input'!$M$2:$M$10,MATCH(B27,'01_Benchmark_Input'!$A$2:$A$10,0)),INDEX('01_Benchmark_Input'!$L$2:$L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9">
        <f>INDEX('01_Benchmark_Input'!$B$2:$B$10,MATCH(B28,'01_Benchmark_Input'!$A$2:$A$10,0))</f>
        <v/>
      </c>
      <c r="J28" s="9">
        <f>INDEX('01_Benchmark_Input'!$C$2:$C$10,MATCH(B28,'01_Benchmark_Input'!$A$2:$A$10,0))</f>
        <v/>
      </c>
      <c r="K28" s="10">
        <f>IF(A28="Bear",INDEX('01_Benchmark_Input'!$K$2:$K$10,MATCH(B28,'01_Benchmark_Input'!$A$2:$A$10,0)),IF(A28="Bull",INDEX('01_Benchmark_Input'!$M$2:$M$10,MATCH(B28,'01_Benchmark_Input'!$A$2:$A$10,0)),INDEX('01_Benchmark_Input'!$L$2:$L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9">
        <f>INDEX('01_Benchmark_Input'!$B$2:$B$10,MATCH(B29,'01_Benchmark_Input'!$A$2:$A$10,0))</f>
        <v/>
      </c>
      <c r="J29" s="9">
        <f>INDEX('01_Benchmark_Input'!$C$2:$C$10,MATCH(B29,'01_Benchmark_Input'!$A$2:$A$10,0))</f>
        <v/>
      </c>
      <c r="K29" s="10">
        <f>IF(A29="Bear",INDEX('01_Benchmark_Input'!$K$2:$K$10,MATCH(B29,'01_Benchmark_Input'!$A$2:$A$10,0)),IF(A29="Bull",INDEX('01_Benchmark_Input'!$M$2:$M$10,MATCH(B29,'01_Benchmark_Input'!$A$2:$A$10,0)),INDEX('01_Benchmark_Input'!$L$2:$L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9">
        <f>INDEX('01_Benchmark_Input'!$B$2:$B$10,MATCH(B30,'01_Benchmark_Input'!$A$2:$A$10,0))</f>
        <v/>
      </c>
      <c r="J30" s="9">
        <f>INDEX('01_Benchmark_Input'!$C$2:$C$10,MATCH(B30,'01_Benchmark_Input'!$A$2:$A$10,0))</f>
        <v/>
      </c>
      <c r="K30" s="10">
        <f>IF(A30="Bear",INDEX('01_Benchmark_Input'!$K$2:$K$10,MATCH(B30,'01_Benchmark_Input'!$A$2:$A$10,0)),IF(A30="Bull",INDEX('01_Benchmark_Input'!$M$2:$M$10,MATCH(B30,'01_Benchmark_Input'!$A$2:$A$10,0)),INDEX('01_Benchmark_Input'!$L$2:$L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9">
        <f>INDEX('01_Benchmark_Input'!$B$2:$B$10,MATCH(B31,'01_Benchmark_Input'!$A$2:$A$10,0))</f>
        <v/>
      </c>
      <c r="J31" s="9">
        <f>INDEX('01_Benchmark_Input'!$C$2:$C$10,MATCH(B31,'01_Benchmark_Input'!$A$2:$A$10,0))</f>
        <v/>
      </c>
      <c r="K31" s="10">
        <f>IF(A31="Bear",INDEX('01_Benchmark_Input'!$K$2:$K$10,MATCH(B31,'01_Benchmark_Input'!$A$2:$A$10,0)),IF(A31="Bull",INDEX('01_Benchmark_Input'!$M$2:$M$10,MATCH(B31,'01_Benchmark_Input'!$A$2:$A$10,0)),INDEX('01_Benchmark_Input'!$L$2:$L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9">
        <f>INDEX('01_Benchmark_Input'!$B$2:$B$10,MATCH(B32,'01_Benchmark_Input'!$A$2:$A$10,0))</f>
        <v/>
      </c>
      <c r="J32" s="9">
        <f>INDEX('01_Benchmark_Input'!$C$2:$C$10,MATCH(B32,'01_Benchmark_Input'!$A$2:$A$10,0))</f>
        <v/>
      </c>
      <c r="K32" s="10">
        <f>IF(A32="Bear",INDEX('01_Benchmark_Input'!$K$2:$K$10,MATCH(B32,'01_Benchmark_Input'!$A$2:$A$10,0)),IF(A32="Bull",INDEX('01_Benchmark_Input'!$M$2:$M$10,MATCH(B32,'01_Benchmark_Input'!$A$2:$A$10,0)),INDEX('01_Benchmark_Input'!$L$2:$L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9">
        <f>INDEX('01_Benchmark_Input'!$B$2:$B$10,MATCH(B33,'01_Benchmark_Input'!$A$2:$A$10,0))</f>
        <v/>
      </c>
      <c r="J33" s="9">
        <f>INDEX('01_Benchmark_Input'!$C$2:$C$10,MATCH(B33,'01_Benchmark_Input'!$A$2:$A$10,0))</f>
        <v/>
      </c>
      <c r="K33" s="10">
        <f>IF(A33="Bear",INDEX('01_Benchmark_Input'!$K$2:$K$10,MATCH(B33,'01_Benchmark_Input'!$A$2:$A$10,0)),IF(A33="Bull",INDEX('01_Benchmark_Input'!$M$2:$M$10,MATCH(B33,'01_Benchmark_Input'!$A$2:$A$10,0)),INDEX('01_Benchmark_Input'!$L$2:$L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9">
        <f>INDEX('01_Benchmark_Input'!$B$2:$B$10,MATCH(B34,'01_Benchmark_Input'!$A$2:$A$10,0))</f>
        <v/>
      </c>
      <c r="J34" s="9">
        <f>INDEX('01_Benchmark_Input'!$C$2:$C$10,MATCH(B34,'01_Benchmark_Input'!$A$2:$A$10,0))</f>
        <v/>
      </c>
      <c r="K34" s="10">
        <f>IF(A34="Bear",INDEX('01_Benchmark_Input'!$K$2:$K$10,MATCH(B34,'01_Benchmark_Input'!$A$2:$A$10,0)),IF(A34="Bull",INDEX('01_Benchmark_Input'!$M$2:$M$10,MATCH(B34,'01_Benchmark_Input'!$A$2:$A$10,0)),INDEX('01_Benchmark_Input'!$L$2:$L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9">
        <f>INDEX('01_Benchmark_Input'!$B$2:$B$10,MATCH(B35,'01_Benchmark_Input'!$A$2:$A$10,0))</f>
        <v/>
      </c>
      <c r="J35" s="9">
        <f>INDEX('01_Benchmark_Input'!$C$2:$C$10,MATCH(B35,'01_Benchmark_Input'!$A$2:$A$10,0))</f>
        <v/>
      </c>
      <c r="K35" s="10">
        <f>IF(A35="Bear",INDEX('01_Benchmark_Input'!$K$2:$K$10,MATCH(B35,'01_Benchmark_Input'!$A$2:$A$10,0)),IF(A35="Bull",INDEX('01_Benchmark_Input'!$M$2:$M$10,MATCH(B35,'01_Benchmark_Input'!$A$2:$A$10,0)),INDEX('01_Benchmark_Input'!$L$2:$L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9">
        <f>INDEX('01_Benchmark_Input'!$B$2:$B$10,MATCH(B36,'01_Benchmark_Input'!$A$2:$A$10,0))</f>
        <v/>
      </c>
      <c r="J36" s="9">
        <f>INDEX('01_Benchmark_Input'!$C$2:$C$10,MATCH(B36,'01_Benchmark_Input'!$A$2:$A$10,0))</f>
        <v/>
      </c>
      <c r="K36" s="10">
        <f>IF(A36="Bear",INDEX('01_Benchmark_Input'!$K$2:$K$10,MATCH(B36,'01_Benchmark_Input'!$A$2:$A$10,0)),IF(A36="Bull",INDEX('01_Benchmark_Input'!$M$2:$M$10,MATCH(B36,'01_Benchmark_Input'!$A$2:$A$10,0)),INDEX('01_Benchmark_Input'!$L$2:$L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9">
        <f>INDEX('01_Benchmark_Input'!$B$2:$B$10,MATCH(B37,'01_Benchmark_Input'!$A$2:$A$10,0))</f>
        <v/>
      </c>
      <c r="J37" s="9">
        <f>INDEX('01_Benchmark_Input'!$C$2:$C$10,MATCH(B37,'01_Benchmark_Input'!$A$2:$A$10,0))</f>
        <v/>
      </c>
      <c r="K37" s="10">
        <f>IF(A37="Bear",INDEX('01_Benchmark_Input'!$K$2:$K$10,MATCH(B37,'01_Benchmark_Input'!$A$2:$A$10,0)),IF(A37="Bull",INDEX('01_Benchmark_Input'!$M$2:$M$10,MATCH(B37,'01_Benchmark_Input'!$A$2:$A$10,0)),INDEX('01_Benchmark_Input'!$L$2:$L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9">
        <f>INDEX('01_Benchmark_Input'!$B$2:$B$10,MATCH(B38,'01_Benchmark_Input'!$A$2:$A$10,0))</f>
        <v/>
      </c>
      <c r="J38" s="9">
        <f>INDEX('01_Benchmark_Input'!$C$2:$C$10,MATCH(B38,'01_Benchmark_Input'!$A$2:$A$10,0))</f>
        <v/>
      </c>
      <c r="K38" s="10">
        <f>IF(A38="Bear",INDEX('01_Benchmark_Input'!$K$2:$K$10,MATCH(B38,'01_Benchmark_Input'!$A$2:$A$10,0)),IF(A38="Bull",INDEX('01_Benchmark_Input'!$M$2:$M$10,MATCH(B38,'01_Benchmark_Input'!$A$2:$A$10,0)),INDEX('01_Benchmark_Input'!$L$2:$L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9">
        <f>INDEX('01_Benchmark_Input'!$B$2:$B$10,MATCH(B39,'01_Benchmark_Input'!$A$2:$A$10,0))</f>
        <v/>
      </c>
      <c r="J39" s="9">
        <f>INDEX('01_Benchmark_Input'!$C$2:$C$10,MATCH(B39,'01_Benchmark_Input'!$A$2:$A$10,0))</f>
        <v/>
      </c>
      <c r="K39" s="10">
        <f>IF(A39="Bear",INDEX('01_Benchmark_Input'!$K$2:$K$10,MATCH(B39,'01_Benchmark_Input'!$A$2:$A$10,0)),IF(A39="Bull",INDEX('01_Benchmark_Input'!$M$2:$M$10,MATCH(B39,'01_Benchmark_Input'!$A$2:$A$10,0)),INDEX('01_Benchmark_Input'!$L$2:$L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9">
        <f>INDEX('01_Benchmark_Input'!$B$2:$B$10,MATCH(B40,'01_Benchmark_Input'!$A$2:$A$10,0))</f>
        <v/>
      </c>
      <c r="J40" s="9">
        <f>INDEX('01_Benchmark_Input'!$C$2:$C$10,MATCH(B40,'01_Benchmark_Input'!$A$2:$A$10,0))</f>
        <v/>
      </c>
      <c r="K40" s="10">
        <f>IF(A40="Bear",INDEX('01_Benchmark_Input'!$K$2:$K$10,MATCH(B40,'01_Benchmark_Input'!$A$2:$A$10,0)),IF(A40="Bull",INDEX('01_Benchmark_Input'!$M$2:$M$10,MATCH(B40,'01_Benchmark_Input'!$A$2:$A$10,0)),INDEX('01_Benchmark_Input'!$L$2:$L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9">
        <f>INDEX('01_Benchmark_Input'!$B$2:$B$10,MATCH(B41,'01_Benchmark_Input'!$A$2:$A$10,0))</f>
        <v/>
      </c>
      <c r="J41" s="9">
        <f>INDEX('01_Benchmark_Input'!$C$2:$C$10,MATCH(B41,'01_Benchmark_Input'!$A$2:$A$10,0))</f>
        <v/>
      </c>
      <c r="K41" s="10">
        <f>IF(A41="Bear",INDEX('01_Benchmark_Input'!$K$2:$K$10,MATCH(B41,'01_Benchmark_Input'!$A$2:$A$10,0)),IF(A41="Bull",INDEX('01_Benchmark_Input'!$M$2:$M$10,MATCH(B41,'01_Benchmark_Input'!$A$2:$A$10,0)),INDEX('01_Benchmark_Input'!$L$2:$L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9">
        <f>INDEX('01_Benchmark_Input'!$B$2:$B$10,MATCH(B42,'01_Benchmark_Input'!$A$2:$A$10,0))</f>
        <v/>
      </c>
      <c r="J42" s="9">
        <f>INDEX('01_Benchmark_Input'!$C$2:$C$10,MATCH(B42,'01_Benchmark_Input'!$A$2:$A$10,0))</f>
        <v/>
      </c>
      <c r="K42" s="10">
        <f>IF(A42="Bear",INDEX('01_Benchmark_Input'!$K$2:$K$10,MATCH(B42,'01_Benchmark_Input'!$A$2:$A$10,0)),IF(A42="Bull",INDEX('01_Benchmark_Input'!$M$2:$M$10,MATCH(B42,'01_Benchmark_Input'!$A$2:$A$10,0)),INDEX('01_Benchmark_Input'!$L$2:$L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9">
        <f>INDEX('01_Benchmark_Input'!$B$2:$B$10,MATCH(B43,'01_Benchmark_Input'!$A$2:$A$10,0))</f>
        <v/>
      </c>
      <c r="J43" s="9">
        <f>INDEX('01_Benchmark_Input'!$C$2:$C$10,MATCH(B43,'01_Benchmark_Input'!$A$2:$A$10,0))</f>
        <v/>
      </c>
      <c r="K43" s="10">
        <f>IF(A43="Bear",INDEX('01_Benchmark_Input'!$K$2:$K$10,MATCH(B43,'01_Benchmark_Input'!$A$2:$A$10,0)),IF(A43="Bull",INDEX('01_Benchmark_Input'!$M$2:$M$10,MATCH(B43,'01_Benchmark_Input'!$A$2:$A$10,0)),INDEX('01_Benchmark_Input'!$L$2:$L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9">
        <f>INDEX('01_Benchmark_Input'!$B$2:$B$10,MATCH(B44,'01_Benchmark_Input'!$A$2:$A$10,0))</f>
        <v/>
      </c>
      <c r="J44" s="9">
        <f>INDEX('01_Benchmark_Input'!$C$2:$C$10,MATCH(B44,'01_Benchmark_Input'!$A$2:$A$10,0))</f>
        <v/>
      </c>
      <c r="K44" s="10">
        <f>IF(A44="Bear",INDEX('01_Benchmark_Input'!$K$2:$K$10,MATCH(B44,'01_Benchmark_Input'!$A$2:$A$10,0)),IF(A44="Bull",INDEX('01_Benchmark_Input'!$M$2:$M$10,MATCH(B44,'01_Benchmark_Input'!$A$2:$A$10,0)),INDEX('01_Benchmark_Input'!$L$2:$L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9">
        <f>INDEX('01_Benchmark_Input'!$B$2:$B$10,MATCH(B45,'01_Benchmark_Input'!$A$2:$A$10,0))</f>
        <v/>
      </c>
      <c r="J45" s="9">
        <f>INDEX('01_Benchmark_Input'!$C$2:$C$10,MATCH(B45,'01_Benchmark_Input'!$A$2:$A$10,0))</f>
        <v/>
      </c>
      <c r="K45" s="10">
        <f>IF(A45="Bear",INDEX('01_Benchmark_Input'!$K$2:$K$10,MATCH(B45,'01_Benchmark_Input'!$A$2:$A$10,0)),IF(A45="Bull",INDEX('01_Benchmark_Input'!$M$2:$M$10,MATCH(B45,'01_Benchmark_Input'!$A$2:$A$10,0)),INDEX('01_Benchmark_Input'!$L$2:$L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9">
        <f>INDEX('01_Benchmark_Input'!$B$2:$B$10,MATCH(B46,'01_Benchmark_Input'!$A$2:$A$10,0))</f>
        <v/>
      </c>
      <c r="J46" s="9">
        <f>INDEX('01_Benchmark_Input'!$C$2:$C$10,MATCH(B46,'01_Benchmark_Input'!$A$2:$A$10,0))</f>
        <v/>
      </c>
      <c r="K46" s="10">
        <f>IF(A46="Bear",INDEX('01_Benchmark_Input'!$K$2:$K$10,MATCH(B46,'01_Benchmark_Input'!$A$2:$A$10,0)),IF(A46="Bull",INDEX('01_Benchmark_Input'!$M$2:$M$10,MATCH(B46,'01_Benchmark_Input'!$A$2:$A$10,0)),INDEX('01_Benchmark_Input'!$L$2:$L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9">
        <f>INDEX('01_Benchmark_Input'!$B$2:$B$10,MATCH(B47,'01_Benchmark_Input'!$A$2:$A$10,0))</f>
        <v/>
      </c>
      <c r="J47" s="9">
        <f>INDEX('01_Benchmark_Input'!$C$2:$C$10,MATCH(B47,'01_Benchmark_Input'!$A$2:$A$10,0))</f>
        <v/>
      </c>
      <c r="K47" s="10">
        <f>IF(A47="Bear",INDEX('01_Benchmark_Input'!$K$2:$K$10,MATCH(B47,'01_Benchmark_Input'!$A$2:$A$10,0)),IF(A47="Bull",INDEX('01_Benchmark_Input'!$M$2:$M$10,MATCH(B47,'01_Benchmark_Input'!$A$2:$A$10,0)),INDEX('01_Benchmark_Input'!$L$2:$L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9">
        <f>INDEX('01_Benchmark_Input'!$B$2:$B$10,MATCH(B48,'01_Benchmark_Input'!$A$2:$A$10,0))</f>
        <v/>
      </c>
      <c r="J48" s="9">
        <f>INDEX('01_Benchmark_Input'!$C$2:$C$10,MATCH(B48,'01_Benchmark_Input'!$A$2:$A$10,0))</f>
        <v/>
      </c>
      <c r="K48" s="10">
        <f>IF(A48="Bear",INDEX('01_Benchmark_Input'!$K$2:$K$10,MATCH(B48,'01_Benchmark_Input'!$A$2:$A$10,0)),IF(A48="Bull",INDEX('01_Benchmark_Input'!$M$2:$M$10,MATCH(B48,'01_Benchmark_Input'!$A$2:$A$10,0)),INDEX('01_Benchmark_Input'!$L$2:$L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9">
        <f>INDEX('01_Benchmark_Input'!$B$2:$B$10,MATCH(B49,'01_Benchmark_Input'!$A$2:$A$10,0))</f>
        <v/>
      </c>
      <c r="J49" s="9">
        <f>INDEX('01_Benchmark_Input'!$C$2:$C$10,MATCH(B49,'01_Benchmark_Input'!$A$2:$A$10,0))</f>
        <v/>
      </c>
      <c r="K49" s="10">
        <f>IF(A49="Bear",INDEX('01_Benchmark_Input'!$K$2:$K$10,MATCH(B49,'01_Benchmark_Input'!$A$2:$A$10,0)),IF(A49="Bull",INDEX('01_Benchmark_Input'!$M$2:$M$10,MATCH(B49,'01_Benchmark_Input'!$A$2:$A$10,0)),INDEX('01_Benchmark_Input'!$L$2:$L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9">
        <f>INDEX('01_Benchmark_Input'!$B$2:$B$10,MATCH(B50,'01_Benchmark_Input'!$A$2:$A$10,0))</f>
        <v/>
      </c>
      <c r="J50" s="9">
        <f>INDEX('01_Benchmark_Input'!$C$2:$C$10,MATCH(B50,'01_Benchmark_Input'!$A$2:$A$10,0))</f>
        <v/>
      </c>
      <c r="K50" s="10">
        <f>IF(A50="Bear",INDEX('01_Benchmark_Input'!$K$2:$K$10,MATCH(B50,'01_Benchmark_Input'!$A$2:$A$10,0)),IF(A50="Bull",INDEX('01_Benchmark_Input'!$M$2:$M$10,MATCH(B50,'01_Benchmark_Input'!$A$2:$A$10,0)),INDEX('01_Benchmark_Input'!$L$2:$L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9">
        <f>INDEX('01_Benchmark_Input'!$B$2:$B$10,MATCH(B51,'01_Benchmark_Input'!$A$2:$A$10,0))</f>
        <v/>
      </c>
      <c r="J51" s="9">
        <f>INDEX('01_Benchmark_Input'!$C$2:$C$10,MATCH(B51,'01_Benchmark_Input'!$A$2:$A$10,0))</f>
        <v/>
      </c>
      <c r="K51" s="10">
        <f>IF(A51="Bear",INDEX('01_Benchmark_Input'!$K$2:$K$10,MATCH(B51,'01_Benchmark_Input'!$A$2:$A$10,0)),IF(A51="Bull",INDEX('01_Benchmark_Input'!$M$2:$M$10,MATCH(B51,'01_Benchmark_Input'!$A$2:$A$10,0)),INDEX('01_Benchmark_Input'!$L$2:$L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9">
        <f>INDEX('01_Benchmark_Input'!$B$2:$B$10,MATCH(B52,'01_Benchmark_Input'!$A$2:$A$10,0))</f>
        <v/>
      </c>
      <c r="J52" s="9">
        <f>INDEX('01_Benchmark_Input'!$C$2:$C$10,MATCH(B52,'01_Benchmark_Input'!$A$2:$A$10,0))</f>
        <v/>
      </c>
      <c r="K52" s="10">
        <f>IF(A52="Bear",INDEX('01_Benchmark_Input'!$K$2:$K$10,MATCH(B52,'01_Benchmark_Input'!$A$2:$A$10,0)),IF(A52="Bull",INDEX('01_Benchmark_Input'!$M$2:$M$10,MATCH(B52,'01_Benchmark_Input'!$A$2:$A$10,0)),INDEX('01_Benchmark_Input'!$L$2:$L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9">
        <f>INDEX('01_Benchmark_Input'!$B$2:$B$10,MATCH(B53,'01_Benchmark_Input'!$A$2:$A$10,0))</f>
        <v/>
      </c>
      <c r="J53" s="9">
        <f>INDEX('01_Benchmark_Input'!$C$2:$C$10,MATCH(B53,'01_Benchmark_Input'!$A$2:$A$10,0))</f>
        <v/>
      </c>
      <c r="K53" s="10">
        <f>IF(A53="Bear",INDEX('01_Benchmark_Input'!$K$2:$K$10,MATCH(B53,'01_Benchmark_Input'!$A$2:$A$10,0)),IF(A53="Bull",INDEX('01_Benchmark_Input'!$M$2:$M$10,MATCH(B53,'01_Benchmark_Input'!$A$2:$A$10,0)),INDEX('01_Benchmark_Input'!$L$2:$L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9">
        <f>INDEX('01_Benchmark_Input'!$B$2:$B$10,MATCH(B54,'01_Benchmark_Input'!$A$2:$A$10,0))</f>
        <v/>
      </c>
      <c r="J54" s="9">
        <f>INDEX('01_Benchmark_Input'!$C$2:$C$10,MATCH(B54,'01_Benchmark_Input'!$A$2:$A$10,0))</f>
        <v/>
      </c>
      <c r="K54" s="10">
        <f>IF(A54="Bear",INDEX('01_Benchmark_Input'!$K$2:$K$10,MATCH(B54,'01_Benchmark_Input'!$A$2:$A$10,0)),IF(A54="Bull",INDEX('01_Benchmark_Input'!$M$2:$M$10,MATCH(B54,'01_Benchmark_Input'!$A$2:$A$10,0)),INDEX('01_Benchmark_Input'!$L$2:$L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9">
        <f>INDEX('01_Benchmark_Input'!$B$2:$B$10,MATCH(B55,'01_Benchmark_Input'!$A$2:$A$10,0))</f>
        <v/>
      </c>
      <c r="J55" s="9">
        <f>INDEX('01_Benchmark_Input'!$C$2:$C$10,MATCH(B55,'01_Benchmark_Input'!$A$2:$A$10,0))</f>
        <v/>
      </c>
      <c r="K55" s="10">
        <f>IF(A55="Bear",INDEX('01_Benchmark_Input'!$K$2:$K$10,MATCH(B55,'01_Benchmark_Input'!$A$2:$A$10,0)),IF(A55="Bull",INDEX('01_Benchmark_Input'!$M$2:$M$10,MATCH(B55,'01_Benchmark_Input'!$A$2:$A$10,0)),INDEX('01_Benchmark_Input'!$L$2:$L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9">
        <f>INDEX('01_Benchmark_Input'!$B$2:$B$10,MATCH(B56,'01_Benchmark_Input'!$A$2:$A$10,0))</f>
        <v/>
      </c>
      <c r="J56" s="9">
        <f>INDEX('01_Benchmark_Input'!$C$2:$C$10,MATCH(B56,'01_Benchmark_Input'!$A$2:$A$10,0))</f>
        <v/>
      </c>
      <c r="K56" s="10">
        <f>IF(A56="Bear",INDEX('01_Benchmark_Input'!$K$2:$K$10,MATCH(B56,'01_Benchmark_Input'!$A$2:$A$10,0)),IF(A56="Bull",INDEX('01_Benchmark_Input'!$M$2:$M$10,MATCH(B56,'01_Benchmark_Input'!$A$2:$A$10,0)),INDEX('01_Benchmark_Input'!$L$2:$L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9">
        <f>INDEX('01_Benchmark_Input'!$B$2:$B$10,MATCH(B57,'01_Benchmark_Input'!$A$2:$A$10,0))</f>
        <v/>
      </c>
      <c r="J57" s="9">
        <f>INDEX('01_Benchmark_Input'!$C$2:$C$10,MATCH(B57,'01_Benchmark_Input'!$A$2:$A$10,0))</f>
        <v/>
      </c>
      <c r="K57" s="10">
        <f>IF(A57="Bear",INDEX('01_Benchmark_Input'!$K$2:$K$10,MATCH(B57,'01_Benchmark_Input'!$A$2:$A$10,0)),IF(A57="Bull",INDEX('01_Benchmark_Input'!$M$2:$M$10,MATCH(B57,'01_Benchmark_Input'!$A$2:$A$10,0)),INDEX('01_Benchmark_Input'!$L$2:$L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9">
        <f>INDEX('01_Benchmark_Input'!$B$2:$B$10,MATCH(B58,'01_Benchmark_Input'!$A$2:$A$10,0))</f>
        <v/>
      </c>
      <c r="J58" s="9">
        <f>INDEX('01_Benchmark_Input'!$C$2:$C$10,MATCH(B58,'01_Benchmark_Input'!$A$2:$A$10,0))</f>
        <v/>
      </c>
      <c r="K58" s="10">
        <f>IF(A58="Bear",INDEX('01_Benchmark_Input'!$K$2:$K$10,MATCH(B58,'01_Benchmark_Input'!$A$2:$A$10,0)),IF(A58="Bull",INDEX('01_Benchmark_Input'!$M$2:$M$10,MATCH(B58,'01_Benchmark_Input'!$A$2:$A$10,0)),INDEX('01_Benchmark_Input'!$L$2:$L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9">
        <f>INDEX('01_Benchmark_Input'!$B$2:$B$10,MATCH(B59,'01_Benchmark_Input'!$A$2:$A$10,0))</f>
        <v/>
      </c>
      <c r="J59" s="9">
        <f>INDEX('01_Benchmark_Input'!$C$2:$C$10,MATCH(B59,'01_Benchmark_Input'!$A$2:$A$10,0))</f>
        <v/>
      </c>
      <c r="K59" s="10">
        <f>IF(A59="Bear",INDEX('01_Benchmark_Input'!$K$2:$K$10,MATCH(B59,'01_Benchmark_Input'!$A$2:$A$10,0)),IF(A59="Bull",INDEX('01_Benchmark_Input'!$M$2:$M$10,MATCH(B59,'01_Benchmark_Input'!$A$2:$A$10,0)),INDEX('01_Benchmark_Input'!$L$2:$L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9">
        <f>INDEX('01_Benchmark_Input'!$B$2:$B$10,MATCH(B60,'01_Benchmark_Input'!$A$2:$A$10,0))</f>
        <v/>
      </c>
      <c r="J60" s="9">
        <f>INDEX('01_Benchmark_Input'!$C$2:$C$10,MATCH(B60,'01_Benchmark_Input'!$A$2:$A$10,0))</f>
        <v/>
      </c>
      <c r="K60" s="10">
        <f>IF(A60="Bear",INDEX('01_Benchmark_Input'!$K$2:$K$10,MATCH(B60,'01_Benchmark_Input'!$A$2:$A$10,0)),IF(A60="Bull",INDEX('01_Benchmark_Input'!$M$2:$M$10,MATCH(B60,'01_Benchmark_Input'!$A$2:$A$10,0)),INDEX('01_Benchmark_Input'!$L$2:$L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9">
        <f>INDEX('01_Benchmark_Input'!$B$2:$B$10,MATCH(B61,'01_Benchmark_Input'!$A$2:$A$10,0))</f>
        <v/>
      </c>
      <c r="J61" s="9">
        <f>INDEX('01_Benchmark_Input'!$C$2:$C$10,MATCH(B61,'01_Benchmark_Input'!$A$2:$A$10,0))</f>
        <v/>
      </c>
      <c r="K61" s="10">
        <f>IF(A61="Bear",INDEX('01_Benchmark_Input'!$K$2:$K$10,MATCH(B61,'01_Benchmark_Input'!$A$2:$A$10,0)),IF(A61="Bull",INDEX('01_Benchmark_Input'!$M$2:$M$10,MATCH(B61,'01_Benchmark_Input'!$A$2:$A$10,0)),INDEX('01_Benchmark_Input'!$L$2:$L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9">
        <f>INDEX('01_Benchmark_Input'!$B$2:$B$10,MATCH(B62,'01_Benchmark_Input'!$A$2:$A$10,0))</f>
        <v/>
      </c>
      <c r="J62" s="9">
        <f>INDEX('01_Benchmark_Input'!$C$2:$C$10,MATCH(B62,'01_Benchmark_Input'!$A$2:$A$10,0))</f>
        <v/>
      </c>
      <c r="K62" s="10">
        <f>IF(A62="Bear",INDEX('01_Benchmark_Input'!$K$2:$K$10,MATCH(B62,'01_Benchmark_Input'!$A$2:$A$10,0)),IF(A62="Bull",INDEX('01_Benchmark_Input'!$M$2:$M$10,MATCH(B62,'01_Benchmark_Input'!$A$2:$A$10,0)),INDEX('01_Benchmark_Input'!$L$2:$L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9">
        <f>INDEX('01_Benchmark_Input'!$B$2:$B$10,MATCH(B63,'01_Benchmark_Input'!$A$2:$A$10,0))</f>
        <v/>
      </c>
      <c r="J63" s="9">
        <f>INDEX('01_Benchmark_Input'!$C$2:$C$10,MATCH(B63,'01_Benchmark_Input'!$A$2:$A$10,0))</f>
        <v/>
      </c>
      <c r="K63" s="10">
        <f>IF(A63="Bear",INDEX('01_Benchmark_Input'!$K$2:$K$10,MATCH(B63,'01_Benchmark_Input'!$A$2:$A$10,0)),IF(A63="Bull",INDEX('01_Benchmark_Input'!$M$2:$M$10,MATCH(B63,'01_Benchmark_Input'!$A$2:$A$10,0)),INDEX('01_Benchmark_Input'!$L$2:$L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9">
        <f>INDEX('01_Benchmark_Input'!$B$2:$B$10,MATCH(B64,'01_Benchmark_Input'!$A$2:$A$10,0))</f>
        <v/>
      </c>
      <c r="J64" s="9">
        <f>INDEX('01_Benchmark_Input'!$C$2:$C$10,MATCH(B64,'01_Benchmark_Input'!$A$2:$A$10,0))</f>
        <v/>
      </c>
      <c r="K64" s="10">
        <f>IF(A64="Bear",INDEX('01_Benchmark_Input'!$K$2:$K$10,MATCH(B64,'01_Benchmark_Input'!$A$2:$A$10,0)),IF(A64="Bull",INDEX('01_Benchmark_Input'!$M$2:$M$10,MATCH(B64,'01_Benchmark_Input'!$A$2:$A$10,0)),INDEX('01_Benchmark_Input'!$L$2:$L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9">
        <f>INDEX('01_Benchmark_Input'!$B$2:$B$10,MATCH(B65,'01_Benchmark_Input'!$A$2:$A$10,0))</f>
        <v/>
      </c>
      <c r="J65" s="9">
        <f>INDEX('01_Benchmark_Input'!$C$2:$C$10,MATCH(B65,'01_Benchmark_Input'!$A$2:$A$10,0))</f>
        <v/>
      </c>
      <c r="K65" s="10">
        <f>IF(A65="Bear",INDEX('01_Benchmark_Input'!$K$2:$K$10,MATCH(B65,'01_Benchmark_Input'!$A$2:$A$10,0)),IF(A65="Bull",INDEX('01_Benchmark_Input'!$M$2:$M$10,MATCH(B65,'01_Benchmark_Input'!$A$2:$A$10,0)),INDEX('01_Benchmark_Input'!$L$2:$L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9">
        <f>INDEX('01_Benchmark_Input'!$B$2:$B$10,MATCH(B66,'01_Benchmark_Input'!$A$2:$A$10,0))</f>
        <v/>
      </c>
      <c r="J66" s="9">
        <f>INDEX('01_Benchmark_Input'!$C$2:$C$10,MATCH(B66,'01_Benchmark_Input'!$A$2:$A$10,0))</f>
        <v/>
      </c>
      <c r="K66" s="10">
        <f>IF(A66="Bear",INDEX('01_Benchmark_Input'!$K$2:$K$10,MATCH(B66,'01_Benchmark_Input'!$A$2:$A$10,0)),IF(A66="Bull",INDEX('01_Benchmark_Input'!$M$2:$M$10,MATCH(B66,'01_Benchmark_Input'!$A$2:$A$10,0)),INDEX('01_Benchmark_Input'!$L$2:$L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9">
        <f>INDEX('01_Benchmark_Input'!$B$2:$B$10,MATCH(B67,'01_Benchmark_Input'!$A$2:$A$10,0))</f>
        <v/>
      </c>
      <c r="J67" s="9">
        <f>INDEX('01_Benchmark_Input'!$C$2:$C$10,MATCH(B67,'01_Benchmark_Input'!$A$2:$A$10,0))</f>
        <v/>
      </c>
      <c r="K67" s="10">
        <f>IF(A67="Bear",INDEX('01_Benchmark_Input'!$K$2:$K$10,MATCH(B67,'01_Benchmark_Input'!$A$2:$A$10,0)),IF(A67="Bull",INDEX('01_Benchmark_Input'!$M$2:$M$10,MATCH(B67,'01_Benchmark_Input'!$A$2:$A$10,0)),INDEX('01_Benchmark_Input'!$L$2:$L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9">
        <f>INDEX('01_Benchmark_Input'!$B$2:$B$10,MATCH(B68,'01_Benchmark_Input'!$A$2:$A$10,0))</f>
        <v/>
      </c>
      <c r="J68" s="9">
        <f>INDEX('01_Benchmark_Input'!$C$2:$C$10,MATCH(B68,'01_Benchmark_Input'!$A$2:$A$10,0))</f>
        <v/>
      </c>
      <c r="K68" s="10">
        <f>IF(A68="Bear",INDEX('01_Benchmark_Input'!$K$2:$K$10,MATCH(B68,'01_Benchmark_Input'!$A$2:$A$10,0)),IF(A68="Bull",INDEX('01_Benchmark_Input'!$M$2:$M$10,MATCH(B68,'01_Benchmark_Input'!$A$2:$A$10,0)),INDEX('01_Benchmark_Input'!$L$2:$L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9">
        <f>INDEX('01_Benchmark_Input'!$B$2:$B$10,MATCH(B69,'01_Benchmark_Input'!$A$2:$A$10,0))</f>
        <v/>
      </c>
      <c r="J69" s="9">
        <f>INDEX('01_Benchmark_Input'!$C$2:$C$10,MATCH(B69,'01_Benchmark_Input'!$A$2:$A$10,0))</f>
        <v/>
      </c>
      <c r="K69" s="10">
        <f>IF(A69="Bear",INDEX('01_Benchmark_Input'!$K$2:$K$10,MATCH(B69,'01_Benchmark_Input'!$A$2:$A$10,0)),IF(A69="Bull",INDEX('01_Benchmark_Input'!$M$2:$M$10,MATCH(B69,'01_Benchmark_Input'!$A$2:$A$10,0)),INDEX('01_Benchmark_Input'!$L$2:$L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9">
        <f>INDEX('01_Benchmark_Input'!$B$2:$B$10,MATCH(B70,'01_Benchmark_Input'!$A$2:$A$10,0))</f>
        <v/>
      </c>
      <c r="J70" s="9">
        <f>INDEX('01_Benchmark_Input'!$C$2:$C$10,MATCH(B70,'01_Benchmark_Input'!$A$2:$A$10,0))</f>
        <v/>
      </c>
      <c r="K70" s="10">
        <f>IF(A70="Bear",INDEX('01_Benchmark_Input'!$K$2:$K$10,MATCH(B70,'01_Benchmark_Input'!$A$2:$A$10,0)),IF(A70="Bull",INDEX('01_Benchmark_Input'!$M$2:$M$10,MATCH(B70,'01_Benchmark_Input'!$A$2:$A$10,0)),INDEX('01_Benchmark_Input'!$L$2:$L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9">
        <f>INDEX('01_Benchmark_Input'!$B$2:$B$10,MATCH(B71,'01_Benchmark_Input'!$A$2:$A$10,0))</f>
        <v/>
      </c>
      <c r="J71" s="9">
        <f>INDEX('01_Benchmark_Input'!$C$2:$C$10,MATCH(B71,'01_Benchmark_Input'!$A$2:$A$10,0))</f>
        <v/>
      </c>
      <c r="K71" s="10">
        <f>IF(A71="Bear",INDEX('01_Benchmark_Input'!$K$2:$K$10,MATCH(B71,'01_Benchmark_Input'!$A$2:$A$10,0)),IF(A71="Bull",INDEX('01_Benchmark_Input'!$M$2:$M$10,MATCH(B71,'01_Benchmark_Input'!$A$2:$A$10,0)),INDEX('01_Benchmark_Input'!$L$2:$L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9">
        <f>INDEX('01_Benchmark_Input'!$B$2:$B$10,MATCH(B72,'01_Benchmark_Input'!$A$2:$A$10,0))</f>
        <v/>
      </c>
      <c r="J72" s="9">
        <f>INDEX('01_Benchmark_Input'!$C$2:$C$10,MATCH(B72,'01_Benchmark_Input'!$A$2:$A$10,0))</f>
        <v/>
      </c>
      <c r="K72" s="10">
        <f>IF(A72="Bear",INDEX('01_Benchmark_Input'!$K$2:$K$10,MATCH(B72,'01_Benchmark_Input'!$A$2:$A$10,0)),IF(A72="Bull",INDEX('01_Benchmark_Input'!$M$2:$M$10,MATCH(B72,'01_Benchmark_Input'!$A$2:$A$10,0)),INDEX('01_Benchmark_Input'!$L$2:$L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9">
        <f>INDEX('01_Benchmark_Input'!$B$2:$B$10,MATCH(B73,'01_Benchmark_Input'!$A$2:$A$10,0))</f>
        <v/>
      </c>
      <c r="J73" s="9">
        <f>INDEX('01_Benchmark_Input'!$C$2:$C$10,MATCH(B73,'01_Benchmark_Input'!$A$2:$A$10,0))</f>
        <v/>
      </c>
      <c r="K73" s="10">
        <f>IF(A73="Bear",INDEX('01_Benchmark_Input'!$K$2:$K$10,MATCH(B73,'01_Benchmark_Input'!$A$2:$A$10,0)),IF(A73="Bull",INDEX('01_Benchmark_Input'!$M$2:$M$10,MATCH(B73,'01_Benchmark_Input'!$A$2:$A$10,0)),INDEX('01_Benchmark_Input'!$L$2:$L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9">
        <f>INDEX('01_Benchmark_Input'!$B$2:$B$10,MATCH(B74,'01_Benchmark_Input'!$A$2:$A$10,0))</f>
        <v/>
      </c>
      <c r="J74" s="9">
        <f>INDEX('01_Benchmark_Input'!$C$2:$C$10,MATCH(B74,'01_Benchmark_Input'!$A$2:$A$10,0))</f>
        <v/>
      </c>
      <c r="K74" s="10">
        <f>IF(A74="Bear",INDEX('01_Benchmark_Input'!$K$2:$K$10,MATCH(B74,'01_Benchmark_Input'!$A$2:$A$10,0)),IF(A74="Bull",INDEX('01_Benchmark_Input'!$M$2:$M$10,MATCH(B74,'01_Benchmark_Input'!$A$2:$A$10,0)),INDEX('01_Benchmark_Input'!$L$2:$L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9">
        <f>INDEX('01_Benchmark_Input'!$B$2:$B$10,MATCH(B75,'01_Benchmark_Input'!$A$2:$A$10,0))</f>
        <v/>
      </c>
      <c r="J75" s="9">
        <f>INDEX('01_Benchmark_Input'!$C$2:$C$10,MATCH(B75,'01_Benchmark_Input'!$A$2:$A$10,0))</f>
        <v/>
      </c>
      <c r="K75" s="10">
        <f>IF(A75="Bear",INDEX('01_Benchmark_Input'!$K$2:$K$10,MATCH(B75,'01_Benchmark_Input'!$A$2:$A$10,0)),IF(A75="Bull",INDEX('01_Benchmark_Input'!$M$2:$M$10,MATCH(B75,'01_Benchmark_Input'!$A$2:$A$10,0)),INDEX('01_Benchmark_Input'!$L$2:$L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9">
        <f>INDEX('01_Benchmark_Input'!$B$2:$B$10,MATCH(B76,'01_Benchmark_Input'!$A$2:$A$10,0))</f>
        <v/>
      </c>
      <c r="J76" s="9">
        <f>INDEX('01_Benchmark_Input'!$C$2:$C$10,MATCH(B76,'01_Benchmark_Input'!$A$2:$A$10,0))</f>
        <v/>
      </c>
      <c r="K76" s="10">
        <f>IF(A76="Bear",INDEX('01_Benchmark_Input'!$K$2:$K$10,MATCH(B76,'01_Benchmark_Input'!$A$2:$A$10,0)),IF(A76="Bull",INDEX('01_Benchmark_Input'!$M$2:$M$10,MATCH(B76,'01_Benchmark_Input'!$A$2:$A$10,0)),INDEX('01_Benchmark_Input'!$L$2:$L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9">
        <f>INDEX('01_Benchmark_Input'!$B$2:$B$10,MATCH(B77,'01_Benchmark_Input'!$A$2:$A$10,0))</f>
        <v/>
      </c>
      <c r="J77" s="9">
        <f>INDEX('01_Benchmark_Input'!$C$2:$C$10,MATCH(B77,'01_Benchmark_Input'!$A$2:$A$10,0))</f>
        <v/>
      </c>
      <c r="K77" s="10">
        <f>IF(A77="Bear",INDEX('01_Benchmark_Input'!$K$2:$K$10,MATCH(B77,'01_Benchmark_Input'!$A$2:$A$10,0)),IF(A77="Bull",INDEX('01_Benchmark_Input'!$M$2:$M$10,MATCH(B77,'01_Benchmark_Input'!$A$2:$A$10,0)),INDEX('01_Benchmark_Input'!$L$2:$L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9">
        <f>INDEX('01_Benchmark_Input'!$B$2:$B$10,MATCH(B78,'01_Benchmark_Input'!$A$2:$A$10,0))</f>
        <v/>
      </c>
      <c r="J78" s="9">
        <f>INDEX('01_Benchmark_Input'!$C$2:$C$10,MATCH(B78,'01_Benchmark_Input'!$A$2:$A$10,0))</f>
        <v/>
      </c>
      <c r="K78" s="10">
        <f>IF(A78="Bear",INDEX('01_Benchmark_Input'!$K$2:$K$10,MATCH(B78,'01_Benchmark_Input'!$A$2:$A$10,0)),IF(A78="Bull",INDEX('01_Benchmark_Input'!$M$2:$M$10,MATCH(B78,'01_Benchmark_Input'!$A$2:$A$10,0)),INDEX('01_Benchmark_Input'!$L$2:$L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9">
        <f>INDEX('01_Benchmark_Input'!$B$2:$B$10,MATCH(B79,'01_Benchmark_Input'!$A$2:$A$10,0))</f>
        <v/>
      </c>
      <c r="J79" s="9">
        <f>INDEX('01_Benchmark_Input'!$C$2:$C$10,MATCH(B79,'01_Benchmark_Input'!$A$2:$A$10,0))</f>
        <v/>
      </c>
      <c r="K79" s="10">
        <f>IF(A79="Bear",INDEX('01_Benchmark_Input'!$K$2:$K$10,MATCH(B79,'01_Benchmark_Input'!$A$2:$A$10,0)),IF(A79="Bull",INDEX('01_Benchmark_Input'!$M$2:$M$10,MATCH(B79,'01_Benchmark_Input'!$A$2:$A$10,0)),INDEX('01_Benchmark_Input'!$L$2:$L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9">
        <f>INDEX('01_Benchmark_Input'!$B$2:$B$10,MATCH(B80,'01_Benchmark_Input'!$A$2:$A$10,0))</f>
        <v/>
      </c>
      <c r="J80" s="9">
        <f>INDEX('01_Benchmark_Input'!$C$2:$C$10,MATCH(B80,'01_Benchmark_Input'!$A$2:$A$10,0))</f>
        <v/>
      </c>
      <c r="K80" s="10">
        <f>IF(A80="Bear",INDEX('01_Benchmark_Input'!$K$2:$K$10,MATCH(B80,'01_Benchmark_Input'!$A$2:$A$10,0)),IF(A80="Bull",INDEX('01_Benchmark_Input'!$M$2:$M$10,MATCH(B80,'01_Benchmark_Input'!$A$2:$A$10,0)),INDEX('01_Benchmark_Input'!$L$2:$L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9">
        <f>INDEX('01_Benchmark_Input'!$B$2:$B$10,MATCH(B81,'01_Benchmark_Input'!$A$2:$A$10,0))</f>
        <v/>
      </c>
      <c r="J81" s="9">
        <f>INDEX('01_Benchmark_Input'!$C$2:$C$10,MATCH(B81,'01_Benchmark_Input'!$A$2:$A$10,0))</f>
        <v/>
      </c>
      <c r="K81" s="10">
        <f>IF(A81="Bear",INDEX('01_Benchmark_Input'!$K$2:$K$10,MATCH(B81,'01_Benchmark_Input'!$A$2:$A$10,0)),IF(A81="Bull",INDEX('01_Benchmark_Input'!$M$2:$M$10,MATCH(B81,'01_Benchmark_Input'!$A$2:$A$10,0)),INDEX('01_Benchmark_Input'!$L$2:$L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9">
        <f>INDEX('01_Benchmark_Input'!$B$2:$B$10,MATCH(B82,'01_Benchmark_Input'!$A$2:$A$10,0))</f>
        <v/>
      </c>
      <c r="J82" s="9">
        <f>INDEX('01_Benchmark_Input'!$C$2:$C$10,MATCH(B82,'01_Benchmark_Input'!$A$2:$A$10,0))</f>
        <v/>
      </c>
      <c r="K82" s="10">
        <f>IF(A82="Bear",INDEX('01_Benchmark_Input'!$K$2:$K$10,MATCH(B82,'01_Benchmark_Input'!$A$2:$A$10,0)),IF(A82="Bull",INDEX('01_Benchmark_Input'!$M$2:$M$10,MATCH(B82,'01_Benchmark_Input'!$A$2:$A$10,0)),INDEX('01_Benchmark_Input'!$L$2:$L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9">
        <f>INDEX('01_Benchmark_Input'!$B$2:$B$10,MATCH(B83,'01_Benchmark_Input'!$A$2:$A$10,0))</f>
        <v/>
      </c>
      <c r="J83" s="9">
        <f>INDEX('01_Benchmark_Input'!$C$2:$C$10,MATCH(B83,'01_Benchmark_Input'!$A$2:$A$10,0))</f>
        <v/>
      </c>
      <c r="K83" s="10">
        <f>IF(A83="Bear",INDEX('01_Benchmark_Input'!$K$2:$K$10,MATCH(B83,'01_Benchmark_Input'!$A$2:$A$10,0)),IF(A83="Bull",INDEX('01_Benchmark_Input'!$M$2:$M$10,MATCH(B83,'01_Benchmark_Input'!$A$2:$A$10,0)),INDEX('01_Benchmark_Input'!$L$2:$L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9">
        <f>INDEX('01_Benchmark_Input'!$B$2:$B$10,MATCH(B84,'01_Benchmark_Input'!$A$2:$A$10,0))</f>
        <v/>
      </c>
      <c r="J84" s="9">
        <f>INDEX('01_Benchmark_Input'!$C$2:$C$10,MATCH(B84,'01_Benchmark_Input'!$A$2:$A$10,0))</f>
        <v/>
      </c>
      <c r="K84" s="10">
        <f>IF(A84="Bear",INDEX('01_Benchmark_Input'!$K$2:$K$10,MATCH(B84,'01_Benchmark_Input'!$A$2:$A$10,0)),IF(A84="Bull",INDEX('01_Benchmark_Input'!$M$2:$M$10,MATCH(B84,'01_Benchmark_Input'!$A$2:$A$10,0)),INDEX('01_Benchmark_Input'!$L$2:$L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9">
        <f>INDEX('01_Benchmark_Input'!$B$2:$B$10,MATCH(B85,'01_Benchmark_Input'!$A$2:$A$10,0))</f>
        <v/>
      </c>
      <c r="J85" s="9">
        <f>INDEX('01_Benchmark_Input'!$C$2:$C$10,MATCH(B85,'01_Benchmark_Input'!$A$2:$A$10,0))</f>
        <v/>
      </c>
      <c r="K85" s="10">
        <f>IF(A85="Bear",INDEX('01_Benchmark_Input'!$K$2:$K$10,MATCH(B85,'01_Benchmark_Input'!$A$2:$A$10,0)),IF(A85="Bull",INDEX('01_Benchmark_Input'!$M$2:$M$10,MATCH(B85,'01_Benchmark_Input'!$A$2:$A$10,0)),INDEX('01_Benchmark_Input'!$L$2:$L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9">
        <f>INDEX('01_Benchmark_Input'!$B$2:$B$10,MATCH(B86,'01_Benchmark_Input'!$A$2:$A$10,0))</f>
        <v/>
      </c>
      <c r="J86" s="9">
        <f>INDEX('01_Benchmark_Input'!$C$2:$C$10,MATCH(B86,'01_Benchmark_Input'!$A$2:$A$10,0))</f>
        <v/>
      </c>
      <c r="K86" s="10">
        <f>IF(A86="Bear",INDEX('01_Benchmark_Input'!$K$2:$K$10,MATCH(B86,'01_Benchmark_Input'!$A$2:$A$10,0)),IF(A86="Bull",INDEX('01_Benchmark_Input'!$M$2:$M$10,MATCH(B86,'01_Benchmark_Input'!$A$2:$A$10,0)),INDEX('01_Benchmark_Input'!$L$2:$L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9">
        <f>INDEX('01_Benchmark_Input'!$B$2:$B$10,MATCH(B87,'01_Benchmark_Input'!$A$2:$A$10,0))</f>
        <v/>
      </c>
      <c r="J87" s="9">
        <f>INDEX('01_Benchmark_Input'!$C$2:$C$10,MATCH(B87,'01_Benchmark_Input'!$A$2:$A$10,0))</f>
        <v/>
      </c>
      <c r="K87" s="10">
        <f>IF(A87="Bear",INDEX('01_Benchmark_Input'!$K$2:$K$10,MATCH(B87,'01_Benchmark_Input'!$A$2:$A$10,0)),IF(A87="Bull",INDEX('01_Benchmark_Input'!$M$2:$M$10,MATCH(B87,'01_Benchmark_Input'!$A$2:$A$10,0)),INDEX('01_Benchmark_Input'!$L$2:$L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9">
        <f>INDEX('01_Benchmark_Input'!$B$2:$B$10,MATCH(B88,'01_Benchmark_Input'!$A$2:$A$10,0))</f>
        <v/>
      </c>
      <c r="J88" s="9">
        <f>INDEX('01_Benchmark_Input'!$C$2:$C$10,MATCH(B88,'01_Benchmark_Input'!$A$2:$A$10,0))</f>
        <v/>
      </c>
      <c r="K88" s="10">
        <f>IF(A88="Bear",INDEX('01_Benchmark_Input'!$K$2:$K$10,MATCH(B88,'01_Benchmark_Input'!$A$2:$A$10,0)),IF(A88="Bull",INDEX('01_Benchmark_Input'!$M$2:$M$10,MATCH(B88,'01_Benchmark_Input'!$A$2:$A$10,0)),INDEX('01_Benchmark_Input'!$L$2:$L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9">
        <f>INDEX('01_Benchmark_Input'!$B$2:$B$10,MATCH(B89,'01_Benchmark_Input'!$A$2:$A$10,0))</f>
        <v/>
      </c>
      <c r="J89" s="9">
        <f>INDEX('01_Benchmark_Input'!$C$2:$C$10,MATCH(B89,'01_Benchmark_Input'!$A$2:$A$10,0))</f>
        <v/>
      </c>
      <c r="K89" s="10">
        <f>IF(A89="Bear",INDEX('01_Benchmark_Input'!$K$2:$K$10,MATCH(B89,'01_Benchmark_Input'!$A$2:$A$10,0)),IF(A89="Bull",INDEX('01_Benchmark_Input'!$M$2:$M$10,MATCH(B89,'01_Benchmark_Input'!$A$2:$A$10,0)),INDEX('01_Benchmark_Input'!$L$2:$L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9">
        <f>INDEX('01_Benchmark_Input'!$B$2:$B$10,MATCH(B90,'01_Benchmark_Input'!$A$2:$A$10,0))</f>
        <v/>
      </c>
      <c r="J90" s="9">
        <f>INDEX('01_Benchmark_Input'!$C$2:$C$10,MATCH(B90,'01_Benchmark_Input'!$A$2:$A$10,0))</f>
        <v/>
      </c>
      <c r="K90" s="10">
        <f>IF(A90="Bear",INDEX('01_Benchmark_Input'!$K$2:$K$10,MATCH(B90,'01_Benchmark_Input'!$A$2:$A$10,0)),IF(A90="Bull",INDEX('01_Benchmark_Input'!$M$2:$M$10,MATCH(B90,'01_Benchmark_Input'!$A$2:$A$10,0)),INDEX('01_Benchmark_Input'!$L$2:$L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9">
        <f>INDEX('01_Benchmark_Input'!$B$2:$B$10,MATCH(B91,'01_Benchmark_Input'!$A$2:$A$10,0))</f>
        <v/>
      </c>
      <c r="J91" s="9">
        <f>INDEX('01_Benchmark_Input'!$C$2:$C$10,MATCH(B91,'01_Benchmark_Input'!$A$2:$A$10,0))</f>
        <v/>
      </c>
      <c r="K91" s="10">
        <f>IF(A91="Bear",INDEX('01_Benchmark_Input'!$K$2:$K$10,MATCH(B91,'01_Benchmark_Input'!$A$2:$A$10,0)),IF(A91="Bull",INDEX('01_Benchmark_Input'!$M$2:$M$10,MATCH(B91,'01_Benchmark_Input'!$A$2:$A$10,0)),INDEX('01_Benchmark_Input'!$L$2:$L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9">
        <f>INDEX('01_Benchmark_Input'!$B$2:$B$10,MATCH(B92,'01_Benchmark_Input'!$A$2:$A$10,0))</f>
        <v/>
      </c>
      <c r="J92" s="9">
        <f>INDEX('01_Benchmark_Input'!$C$2:$C$10,MATCH(B92,'01_Benchmark_Input'!$A$2:$A$10,0))</f>
        <v/>
      </c>
      <c r="K92" s="10">
        <f>IF(A92="Bear",INDEX('01_Benchmark_Input'!$K$2:$K$10,MATCH(B92,'01_Benchmark_Input'!$A$2:$A$10,0)),IF(A92="Bull",INDEX('01_Benchmark_Input'!$M$2:$M$10,MATCH(B92,'01_Benchmark_Input'!$A$2:$A$10,0)),INDEX('01_Benchmark_Input'!$L$2:$L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9">
        <f>INDEX('01_Benchmark_Input'!$B$2:$B$10,MATCH(B93,'01_Benchmark_Input'!$A$2:$A$10,0))</f>
        <v/>
      </c>
      <c r="J93" s="9">
        <f>INDEX('01_Benchmark_Input'!$C$2:$C$10,MATCH(B93,'01_Benchmark_Input'!$A$2:$A$10,0))</f>
        <v/>
      </c>
      <c r="K93" s="10">
        <f>IF(A93="Bear",INDEX('01_Benchmark_Input'!$K$2:$K$10,MATCH(B93,'01_Benchmark_Input'!$A$2:$A$10,0)),IF(A93="Bull",INDEX('01_Benchmark_Input'!$M$2:$M$10,MATCH(B93,'01_Benchmark_Input'!$A$2:$A$10,0)),INDEX('01_Benchmark_Input'!$L$2:$L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9">
        <f>INDEX('01_Benchmark_Input'!$B$2:$B$10,MATCH(B94,'01_Benchmark_Input'!$A$2:$A$10,0))</f>
        <v/>
      </c>
      <c r="J94" s="9">
        <f>INDEX('01_Benchmark_Input'!$C$2:$C$10,MATCH(B94,'01_Benchmark_Input'!$A$2:$A$10,0))</f>
        <v/>
      </c>
      <c r="K94" s="10">
        <f>IF(A94="Bear",INDEX('01_Benchmark_Input'!$K$2:$K$10,MATCH(B94,'01_Benchmark_Input'!$A$2:$A$10,0)),IF(A94="Bull",INDEX('01_Benchmark_Input'!$M$2:$M$10,MATCH(B94,'01_Benchmark_Input'!$A$2:$A$10,0)),INDEX('01_Benchmark_Input'!$L$2:$L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9">
        <f>INDEX('01_Benchmark_Input'!$B$2:$B$10,MATCH(B95,'01_Benchmark_Input'!$A$2:$A$10,0))</f>
        <v/>
      </c>
      <c r="J95" s="9">
        <f>INDEX('01_Benchmark_Input'!$C$2:$C$10,MATCH(B95,'01_Benchmark_Input'!$A$2:$A$10,0))</f>
        <v/>
      </c>
      <c r="K95" s="10">
        <f>IF(A95="Bear",INDEX('01_Benchmark_Input'!$K$2:$K$10,MATCH(B95,'01_Benchmark_Input'!$A$2:$A$10,0)),IF(A95="Bull",INDEX('01_Benchmark_Input'!$M$2:$M$10,MATCH(B95,'01_Benchmark_Input'!$A$2:$A$10,0)),INDEX('01_Benchmark_Input'!$L$2:$L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9">
        <f>INDEX('01_Benchmark_Input'!$B$2:$B$10,MATCH(B96,'01_Benchmark_Input'!$A$2:$A$10,0))</f>
        <v/>
      </c>
      <c r="J96" s="9">
        <f>INDEX('01_Benchmark_Input'!$C$2:$C$10,MATCH(B96,'01_Benchmark_Input'!$A$2:$A$10,0))</f>
        <v/>
      </c>
      <c r="K96" s="10">
        <f>IF(A96="Bear",INDEX('01_Benchmark_Input'!$K$2:$K$10,MATCH(B96,'01_Benchmark_Input'!$A$2:$A$10,0)),IF(A96="Bull",INDEX('01_Benchmark_Input'!$M$2:$M$10,MATCH(B96,'01_Benchmark_Input'!$A$2:$A$10,0)),INDEX('01_Benchmark_Input'!$L$2:$L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9">
        <f>INDEX('01_Benchmark_Input'!$B$2:$B$10,MATCH(B97,'01_Benchmark_Input'!$A$2:$A$10,0))</f>
        <v/>
      </c>
      <c r="J97" s="9">
        <f>INDEX('01_Benchmark_Input'!$C$2:$C$10,MATCH(B97,'01_Benchmark_Input'!$A$2:$A$10,0))</f>
        <v/>
      </c>
      <c r="K97" s="10">
        <f>IF(A97="Bear",INDEX('01_Benchmark_Input'!$K$2:$K$10,MATCH(B97,'01_Benchmark_Input'!$A$2:$A$10,0)),IF(A97="Bull",INDEX('01_Benchmark_Input'!$M$2:$M$10,MATCH(B97,'01_Benchmark_Input'!$A$2:$A$10,0)),INDEX('01_Benchmark_Input'!$L$2:$L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9">
        <f>INDEX('01_Benchmark_Input'!$B$2:$B$10,MATCH(B98,'01_Benchmark_Input'!$A$2:$A$10,0))</f>
        <v/>
      </c>
      <c r="J98" s="9">
        <f>INDEX('01_Benchmark_Input'!$C$2:$C$10,MATCH(B98,'01_Benchmark_Input'!$A$2:$A$10,0))</f>
        <v/>
      </c>
      <c r="K98" s="10">
        <f>IF(A98="Bear",INDEX('01_Benchmark_Input'!$K$2:$K$10,MATCH(B98,'01_Benchmark_Input'!$A$2:$A$10,0)),IF(A98="Bull",INDEX('01_Benchmark_Input'!$M$2:$M$10,MATCH(B98,'01_Benchmark_Input'!$A$2:$A$10,0)),INDEX('01_Benchmark_Input'!$L$2:$L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9">
        <f>INDEX('01_Benchmark_Input'!$B$2:$B$10,MATCH(B99,'01_Benchmark_Input'!$A$2:$A$10,0))</f>
        <v/>
      </c>
      <c r="J99" s="9">
        <f>INDEX('01_Benchmark_Input'!$C$2:$C$10,MATCH(B99,'01_Benchmark_Input'!$A$2:$A$10,0))</f>
        <v/>
      </c>
      <c r="K99" s="10">
        <f>IF(A99="Bear",INDEX('01_Benchmark_Input'!$K$2:$K$10,MATCH(B99,'01_Benchmark_Input'!$A$2:$A$10,0)),IF(A99="Bull",INDEX('01_Benchmark_Input'!$M$2:$M$10,MATCH(B99,'01_Benchmark_Input'!$A$2:$A$10,0)),INDEX('01_Benchmark_Input'!$L$2:$L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9">
        <f>INDEX('01_Benchmark_Input'!$B$2:$B$10,MATCH(B100,'01_Benchmark_Input'!$A$2:$A$10,0))</f>
        <v/>
      </c>
      <c r="J100" s="9">
        <f>INDEX('01_Benchmark_Input'!$C$2:$C$10,MATCH(B100,'01_Benchmark_Input'!$A$2:$A$10,0))</f>
        <v/>
      </c>
      <c r="K100" s="10">
        <f>IF(A100="Bear",INDEX('01_Benchmark_Input'!$K$2:$K$10,MATCH(B100,'01_Benchmark_Input'!$A$2:$A$10,0)),IF(A100="Bull",INDEX('01_Benchmark_Input'!$M$2:$M$10,MATCH(B100,'01_Benchmark_Input'!$A$2:$A$10,0)),INDEX('01_Benchmark_Input'!$L$2:$L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9">
        <f>INDEX('01_Benchmark_Input'!$B$2:$B$10,MATCH(B101,'01_Benchmark_Input'!$A$2:$A$10,0))</f>
        <v/>
      </c>
      <c r="J101" s="9">
        <f>INDEX('01_Benchmark_Input'!$C$2:$C$10,MATCH(B101,'01_Benchmark_Input'!$A$2:$A$10,0))</f>
        <v/>
      </c>
      <c r="K101" s="10">
        <f>IF(A101="Bear",INDEX('01_Benchmark_Input'!$K$2:$K$10,MATCH(B101,'01_Benchmark_Input'!$A$2:$A$10,0)),IF(A101="Bull",INDEX('01_Benchmark_Input'!$M$2:$M$10,MATCH(B101,'01_Benchmark_Input'!$A$2:$A$10,0)),INDEX('01_Benchmark_Input'!$L$2:$L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9">
        <f>INDEX('01_Benchmark_Input'!$B$2:$B$10,MATCH(B102,'01_Benchmark_Input'!$A$2:$A$10,0))</f>
        <v/>
      </c>
      <c r="J102" s="9">
        <f>INDEX('01_Benchmark_Input'!$C$2:$C$10,MATCH(B102,'01_Benchmark_Input'!$A$2:$A$10,0))</f>
        <v/>
      </c>
      <c r="K102" s="10">
        <f>IF(A102="Bear",INDEX('01_Benchmark_Input'!$K$2:$K$10,MATCH(B102,'01_Benchmark_Input'!$A$2:$A$10,0)),IF(A102="Bull",INDEX('01_Benchmark_Input'!$M$2:$M$10,MATCH(B102,'01_Benchmark_Input'!$A$2:$A$10,0)),INDEX('01_Benchmark_Input'!$L$2:$L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9">
        <f>INDEX('01_Benchmark_Input'!$B$2:$B$10,MATCH(B103,'01_Benchmark_Input'!$A$2:$A$10,0))</f>
        <v/>
      </c>
      <c r="J103" s="9">
        <f>INDEX('01_Benchmark_Input'!$C$2:$C$10,MATCH(B103,'01_Benchmark_Input'!$A$2:$A$10,0))</f>
        <v/>
      </c>
      <c r="K103" s="10">
        <f>IF(A103="Bear",INDEX('01_Benchmark_Input'!$K$2:$K$10,MATCH(B103,'01_Benchmark_Input'!$A$2:$A$10,0)),IF(A103="Bull",INDEX('01_Benchmark_Input'!$M$2:$M$10,MATCH(B103,'01_Benchmark_Input'!$A$2:$A$10,0)),INDEX('01_Benchmark_Input'!$L$2:$L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9">
        <f>INDEX('01_Benchmark_Input'!$B$2:$B$10,MATCH(B104,'01_Benchmark_Input'!$A$2:$A$10,0))</f>
        <v/>
      </c>
      <c r="J104" s="9">
        <f>INDEX('01_Benchmark_Input'!$C$2:$C$10,MATCH(B104,'01_Benchmark_Input'!$A$2:$A$10,0))</f>
        <v/>
      </c>
      <c r="K104" s="10">
        <f>IF(A104="Bear",INDEX('01_Benchmark_Input'!$K$2:$K$10,MATCH(B104,'01_Benchmark_Input'!$A$2:$A$10,0)),IF(A104="Bull",INDEX('01_Benchmark_Input'!$M$2:$M$10,MATCH(B104,'01_Benchmark_Input'!$A$2:$A$10,0)),INDEX('01_Benchmark_Input'!$L$2:$L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9">
        <f>INDEX('01_Benchmark_Input'!$B$2:$B$10,MATCH(B105,'01_Benchmark_Input'!$A$2:$A$10,0))</f>
        <v/>
      </c>
      <c r="J105" s="9">
        <f>INDEX('01_Benchmark_Input'!$C$2:$C$10,MATCH(B105,'01_Benchmark_Input'!$A$2:$A$10,0))</f>
        <v/>
      </c>
      <c r="K105" s="10">
        <f>IF(A105="Bear",INDEX('01_Benchmark_Input'!$K$2:$K$10,MATCH(B105,'01_Benchmark_Input'!$A$2:$A$10,0)),IF(A105="Bull",INDEX('01_Benchmark_Input'!$M$2:$M$10,MATCH(B105,'01_Benchmark_Input'!$A$2:$A$10,0)),INDEX('01_Benchmark_Input'!$L$2:$L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9">
        <f>INDEX('01_Benchmark_Input'!$B$2:$B$10,MATCH(B106,'01_Benchmark_Input'!$A$2:$A$10,0))</f>
        <v/>
      </c>
      <c r="J106" s="9">
        <f>INDEX('01_Benchmark_Input'!$C$2:$C$10,MATCH(B106,'01_Benchmark_Input'!$A$2:$A$10,0))</f>
        <v/>
      </c>
      <c r="K106" s="10">
        <f>IF(A106="Bear",INDEX('01_Benchmark_Input'!$K$2:$K$10,MATCH(B106,'01_Benchmark_Input'!$A$2:$A$10,0)),IF(A106="Bull",INDEX('01_Benchmark_Input'!$M$2:$M$10,MATCH(B106,'01_Benchmark_Input'!$A$2:$A$10,0)),INDEX('01_Benchmark_Input'!$L$2:$L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9">
        <f>INDEX('01_Benchmark_Input'!$B$2:$B$10,MATCH(B107,'01_Benchmark_Input'!$A$2:$A$10,0))</f>
        <v/>
      </c>
      <c r="J107" s="9">
        <f>INDEX('01_Benchmark_Input'!$C$2:$C$10,MATCH(B107,'01_Benchmark_Input'!$A$2:$A$10,0))</f>
        <v/>
      </c>
      <c r="K107" s="10">
        <f>IF(A107="Bear",INDEX('01_Benchmark_Input'!$K$2:$K$10,MATCH(B107,'01_Benchmark_Input'!$A$2:$A$10,0)),IF(A107="Bull",INDEX('01_Benchmark_Input'!$M$2:$M$10,MATCH(B107,'01_Benchmark_Input'!$A$2:$A$10,0)),INDEX('01_Benchmark_Input'!$L$2:$L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9">
        <f>INDEX('01_Benchmark_Input'!$B$2:$B$10,MATCH(B108,'01_Benchmark_Input'!$A$2:$A$10,0))</f>
        <v/>
      </c>
      <c r="J108" s="9">
        <f>INDEX('01_Benchmark_Input'!$C$2:$C$10,MATCH(B108,'01_Benchmark_Input'!$A$2:$A$10,0))</f>
        <v/>
      </c>
      <c r="K108" s="10">
        <f>IF(A108="Bear",INDEX('01_Benchmark_Input'!$K$2:$K$10,MATCH(B108,'01_Benchmark_Input'!$A$2:$A$10,0)),IF(A108="Bull",INDEX('01_Benchmark_Input'!$M$2:$M$10,MATCH(B108,'01_Benchmark_Input'!$A$2:$A$10,0)),INDEX('01_Benchmark_Input'!$L$2:$L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9">
        <f>INDEX('01_Benchmark_Input'!$B$2:$B$10,MATCH(B109,'01_Benchmark_Input'!$A$2:$A$10,0))</f>
        <v/>
      </c>
      <c r="J109" s="9">
        <f>INDEX('01_Benchmark_Input'!$C$2:$C$10,MATCH(B109,'01_Benchmark_Input'!$A$2:$A$10,0))</f>
        <v/>
      </c>
      <c r="K109" s="10">
        <f>IF(A109="Bear",INDEX('01_Benchmark_Input'!$K$2:$K$10,MATCH(B109,'01_Benchmark_Input'!$A$2:$A$10,0)),IF(A109="Bull",INDEX('01_Benchmark_Input'!$M$2:$M$10,MATCH(B109,'01_Benchmark_Input'!$A$2:$A$10,0)),INDEX('01_Benchmark_Input'!$L$2:$L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9">
        <f>INDEX('01_Benchmark_Input'!$B$2:$B$10,MATCH(B110,'01_Benchmark_Input'!$A$2:$A$10,0))</f>
        <v/>
      </c>
      <c r="J110" s="9">
        <f>INDEX('01_Benchmark_Input'!$C$2:$C$10,MATCH(B110,'01_Benchmark_Input'!$A$2:$A$10,0))</f>
        <v/>
      </c>
      <c r="K110" s="10">
        <f>IF(A110="Bear",INDEX('01_Benchmark_Input'!$K$2:$K$10,MATCH(B110,'01_Benchmark_Input'!$A$2:$A$10,0)),IF(A110="Bull",INDEX('01_Benchmark_Input'!$M$2:$M$10,MATCH(B110,'01_Benchmark_Input'!$A$2:$A$10,0)),INDEX('01_Benchmark_Input'!$L$2:$L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9">
        <f>INDEX('01_Benchmark_Input'!$B$2:$B$10,MATCH(B111,'01_Benchmark_Input'!$A$2:$A$10,0))</f>
        <v/>
      </c>
      <c r="J111" s="9">
        <f>INDEX('01_Benchmark_Input'!$C$2:$C$10,MATCH(B111,'01_Benchmark_Input'!$A$2:$A$10,0))</f>
        <v/>
      </c>
      <c r="K111" s="10">
        <f>IF(A111="Bear",INDEX('01_Benchmark_Input'!$K$2:$K$10,MATCH(B111,'01_Benchmark_Input'!$A$2:$A$10,0)),IF(A111="Bull",INDEX('01_Benchmark_Input'!$M$2:$M$10,MATCH(B111,'01_Benchmark_Input'!$A$2:$A$10,0)),INDEX('01_Benchmark_Input'!$L$2:$L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9">
        <f>INDEX('01_Benchmark_Input'!$B$2:$B$10,MATCH(B112,'01_Benchmark_Input'!$A$2:$A$10,0))</f>
        <v/>
      </c>
      <c r="J112" s="9">
        <f>INDEX('01_Benchmark_Input'!$C$2:$C$10,MATCH(B112,'01_Benchmark_Input'!$A$2:$A$10,0))</f>
        <v/>
      </c>
      <c r="K112" s="10">
        <f>IF(A112="Bear",INDEX('01_Benchmark_Input'!$K$2:$K$10,MATCH(B112,'01_Benchmark_Input'!$A$2:$A$10,0)),IF(A112="Bull",INDEX('01_Benchmark_Input'!$M$2:$M$10,MATCH(B112,'01_Benchmark_Input'!$A$2:$A$10,0)),INDEX('01_Benchmark_Input'!$L$2:$L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9">
        <f>INDEX('01_Benchmark_Input'!$B$2:$B$10,MATCH(B113,'01_Benchmark_Input'!$A$2:$A$10,0))</f>
        <v/>
      </c>
      <c r="J113" s="9">
        <f>INDEX('01_Benchmark_Input'!$C$2:$C$10,MATCH(B113,'01_Benchmark_Input'!$A$2:$A$10,0))</f>
        <v/>
      </c>
      <c r="K113" s="10">
        <f>IF(A113="Bear",INDEX('01_Benchmark_Input'!$K$2:$K$10,MATCH(B113,'01_Benchmark_Input'!$A$2:$A$10,0)),IF(A113="Bull",INDEX('01_Benchmark_Input'!$M$2:$M$10,MATCH(B113,'01_Benchmark_Input'!$A$2:$A$10,0)),INDEX('01_Benchmark_Input'!$L$2:$L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9">
        <f>INDEX('01_Benchmark_Input'!$B$2:$B$10,MATCH(B114,'01_Benchmark_Input'!$A$2:$A$10,0))</f>
        <v/>
      </c>
      <c r="J114" s="9">
        <f>INDEX('01_Benchmark_Input'!$C$2:$C$10,MATCH(B114,'01_Benchmark_Input'!$A$2:$A$10,0))</f>
        <v/>
      </c>
      <c r="K114" s="10">
        <f>IF(A114="Bear",INDEX('01_Benchmark_Input'!$K$2:$K$10,MATCH(B114,'01_Benchmark_Input'!$A$2:$A$10,0)),IF(A114="Bull",INDEX('01_Benchmark_Input'!$M$2:$M$10,MATCH(B114,'01_Benchmark_Input'!$A$2:$A$10,0)),INDEX('01_Benchmark_Input'!$L$2:$L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9">
        <f>INDEX('01_Benchmark_Input'!$B$2:$B$10,MATCH(B115,'01_Benchmark_Input'!$A$2:$A$10,0))</f>
        <v/>
      </c>
      <c r="J115" s="9">
        <f>INDEX('01_Benchmark_Input'!$C$2:$C$10,MATCH(B115,'01_Benchmark_Input'!$A$2:$A$10,0))</f>
        <v/>
      </c>
      <c r="K115" s="10">
        <f>IF(A115="Bear",INDEX('01_Benchmark_Input'!$K$2:$K$10,MATCH(B115,'01_Benchmark_Input'!$A$2:$A$10,0)),IF(A115="Bull",INDEX('01_Benchmark_Input'!$M$2:$M$10,MATCH(B115,'01_Benchmark_Input'!$A$2:$A$10,0)),INDEX('01_Benchmark_Input'!$L$2:$L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9">
        <f>INDEX('01_Benchmark_Input'!$B$2:$B$10,MATCH(B116,'01_Benchmark_Input'!$A$2:$A$10,0))</f>
        <v/>
      </c>
      <c r="J116" s="9">
        <f>INDEX('01_Benchmark_Input'!$C$2:$C$10,MATCH(B116,'01_Benchmark_Input'!$A$2:$A$10,0))</f>
        <v/>
      </c>
      <c r="K116" s="10">
        <f>IF(A116="Bear",INDEX('01_Benchmark_Input'!$K$2:$K$10,MATCH(B116,'01_Benchmark_Input'!$A$2:$A$10,0)),IF(A116="Bull",INDEX('01_Benchmark_Input'!$M$2:$M$10,MATCH(B116,'01_Benchmark_Input'!$A$2:$A$10,0)),INDEX('01_Benchmark_Input'!$L$2:$L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9">
        <f>INDEX('01_Benchmark_Input'!$B$2:$B$10,MATCH(B117,'01_Benchmark_Input'!$A$2:$A$10,0))</f>
        <v/>
      </c>
      <c r="J117" s="9">
        <f>INDEX('01_Benchmark_Input'!$C$2:$C$10,MATCH(B117,'01_Benchmark_Input'!$A$2:$A$10,0))</f>
        <v/>
      </c>
      <c r="K117" s="10">
        <f>IF(A117="Bear",INDEX('01_Benchmark_Input'!$K$2:$K$10,MATCH(B117,'01_Benchmark_Input'!$A$2:$A$10,0)),IF(A117="Bull",INDEX('01_Benchmark_Input'!$M$2:$M$10,MATCH(B117,'01_Benchmark_Input'!$A$2:$A$10,0)),INDEX('01_Benchmark_Input'!$L$2:$L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9">
        <f>INDEX('01_Benchmark_Input'!$B$2:$B$10,MATCH(B118,'01_Benchmark_Input'!$A$2:$A$10,0))</f>
        <v/>
      </c>
      <c r="J118" s="9">
        <f>INDEX('01_Benchmark_Input'!$C$2:$C$10,MATCH(B118,'01_Benchmark_Input'!$A$2:$A$10,0))</f>
        <v/>
      </c>
      <c r="K118" s="10">
        <f>IF(A118="Bear",INDEX('01_Benchmark_Input'!$K$2:$K$10,MATCH(B118,'01_Benchmark_Input'!$A$2:$A$10,0)),IF(A118="Bull",INDEX('01_Benchmark_Input'!$M$2:$M$10,MATCH(B118,'01_Benchmark_Input'!$A$2:$A$10,0)),INDEX('01_Benchmark_Input'!$L$2:$L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9">
        <f>INDEX('01_Benchmark_Input'!$B$2:$B$10,MATCH(B119,'01_Benchmark_Input'!$A$2:$A$10,0))</f>
        <v/>
      </c>
      <c r="J119" s="9">
        <f>INDEX('01_Benchmark_Input'!$C$2:$C$10,MATCH(B119,'01_Benchmark_Input'!$A$2:$A$10,0))</f>
        <v/>
      </c>
      <c r="K119" s="10">
        <f>IF(A119="Bear",INDEX('01_Benchmark_Input'!$K$2:$K$10,MATCH(B119,'01_Benchmark_Input'!$A$2:$A$10,0)),IF(A119="Bull",INDEX('01_Benchmark_Input'!$M$2:$M$10,MATCH(B119,'01_Benchmark_Input'!$A$2:$A$10,0)),INDEX('01_Benchmark_Input'!$L$2:$L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9">
        <f>INDEX('01_Benchmark_Input'!$B$2:$B$10,MATCH(B120,'01_Benchmark_Input'!$A$2:$A$10,0))</f>
        <v/>
      </c>
      <c r="J120" s="9">
        <f>INDEX('01_Benchmark_Input'!$C$2:$C$10,MATCH(B120,'01_Benchmark_Input'!$A$2:$A$10,0))</f>
        <v/>
      </c>
      <c r="K120" s="10">
        <f>IF(A120="Bear",INDEX('01_Benchmark_Input'!$K$2:$K$10,MATCH(B120,'01_Benchmark_Input'!$A$2:$A$10,0)),IF(A120="Bull",INDEX('01_Benchmark_Input'!$M$2:$M$10,MATCH(B120,'01_Benchmark_Input'!$A$2:$A$10,0)),INDEX('01_Benchmark_Input'!$L$2:$L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9">
        <f>INDEX('01_Benchmark_Input'!$B$2:$B$10,MATCH(B121,'01_Benchmark_Input'!$A$2:$A$10,0))</f>
        <v/>
      </c>
      <c r="J121" s="9">
        <f>INDEX('01_Benchmark_Input'!$C$2:$C$10,MATCH(B121,'01_Benchmark_Input'!$A$2:$A$10,0))</f>
        <v/>
      </c>
      <c r="K121" s="10">
        <f>IF(A121="Bear",INDEX('01_Benchmark_Input'!$K$2:$K$10,MATCH(B121,'01_Benchmark_Input'!$A$2:$A$10,0)),IF(A121="Bull",INDEX('01_Benchmark_Input'!$M$2:$M$10,MATCH(B121,'01_Benchmark_Input'!$A$2:$A$10,0)),INDEX('01_Benchmark_Input'!$L$2:$L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9">
        <f>INDEX('01_Benchmark_Input'!$B$2:$B$10,MATCH(B122,'01_Benchmark_Input'!$A$2:$A$10,0))</f>
        <v/>
      </c>
      <c r="J122" s="9">
        <f>INDEX('01_Benchmark_Input'!$C$2:$C$10,MATCH(B122,'01_Benchmark_Input'!$A$2:$A$10,0))</f>
        <v/>
      </c>
      <c r="K122" s="10">
        <f>IF(A122="Bear",INDEX('01_Benchmark_Input'!$K$2:$K$10,MATCH(B122,'01_Benchmark_Input'!$A$2:$A$10,0)),IF(A122="Bull",INDEX('01_Benchmark_Input'!$M$2:$M$10,MATCH(B122,'01_Benchmark_Input'!$A$2:$A$10,0)),INDEX('01_Benchmark_Input'!$L$2:$L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9">
        <f>INDEX('01_Benchmark_Input'!$B$2:$B$10,MATCH(B123,'01_Benchmark_Input'!$A$2:$A$10,0))</f>
        <v/>
      </c>
      <c r="J123" s="9">
        <f>INDEX('01_Benchmark_Input'!$C$2:$C$10,MATCH(B123,'01_Benchmark_Input'!$A$2:$A$10,0))</f>
        <v/>
      </c>
      <c r="K123" s="10">
        <f>IF(A123="Bear",INDEX('01_Benchmark_Input'!$K$2:$K$10,MATCH(B123,'01_Benchmark_Input'!$A$2:$A$10,0)),IF(A123="Bull",INDEX('01_Benchmark_Input'!$M$2:$M$10,MATCH(B123,'01_Benchmark_Input'!$A$2:$A$10,0)),INDEX('01_Benchmark_Input'!$L$2:$L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9">
        <f>INDEX('01_Benchmark_Input'!$B$2:$B$10,MATCH(B124,'01_Benchmark_Input'!$A$2:$A$10,0))</f>
        <v/>
      </c>
      <c r="J124" s="9">
        <f>INDEX('01_Benchmark_Input'!$C$2:$C$10,MATCH(B124,'01_Benchmark_Input'!$A$2:$A$10,0))</f>
        <v/>
      </c>
      <c r="K124" s="10">
        <f>IF(A124="Bear",INDEX('01_Benchmark_Input'!$K$2:$K$10,MATCH(B124,'01_Benchmark_Input'!$A$2:$A$10,0)),IF(A124="Bull",INDEX('01_Benchmark_Input'!$M$2:$M$10,MATCH(B124,'01_Benchmark_Input'!$A$2:$A$10,0)),INDEX('01_Benchmark_Input'!$L$2:$L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9">
        <f>INDEX('01_Benchmark_Input'!$B$2:$B$10,MATCH(B125,'01_Benchmark_Input'!$A$2:$A$10,0))</f>
        <v/>
      </c>
      <c r="J125" s="9">
        <f>INDEX('01_Benchmark_Input'!$C$2:$C$10,MATCH(B125,'01_Benchmark_Input'!$A$2:$A$10,0))</f>
        <v/>
      </c>
      <c r="K125" s="10">
        <f>IF(A125="Bear",INDEX('01_Benchmark_Input'!$K$2:$K$10,MATCH(B125,'01_Benchmark_Input'!$A$2:$A$10,0)),IF(A125="Bull",INDEX('01_Benchmark_Input'!$M$2:$M$10,MATCH(B125,'01_Benchmark_Input'!$A$2:$A$10,0)),INDEX('01_Benchmark_Input'!$L$2:$L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9">
        <f>INDEX('01_Benchmark_Input'!$B$2:$B$10,MATCH(B126,'01_Benchmark_Input'!$A$2:$A$10,0))</f>
        <v/>
      </c>
      <c r="J126" s="9">
        <f>INDEX('01_Benchmark_Input'!$C$2:$C$10,MATCH(B126,'01_Benchmark_Input'!$A$2:$A$10,0))</f>
        <v/>
      </c>
      <c r="K126" s="10">
        <f>IF(A126="Bear",INDEX('01_Benchmark_Input'!$K$2:$K$10,MATCH(B126,'01_Benchmark_Input'!$A$2:$A$10,0)),IF(A126="Bull",INDEX('01_Benchmark_Input'!$M$2:$M$10,MATCH(B126,'01_Benchmark_Input'!$A$2:$A$10,0)),INDEX('01_Benchmark_Input'!$L$2:$L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9">
        <f>INDEX('01_Benchmark_Input'!$B$2:$B$10,MATCH(B127,'01_Benchmark_Input'!$A$2:$A$10,0))</f>
        <v/>
      </c>
      <c r="J127" s="9">
        <f>INDEX('01_Benchmark_Input'!$C$2:$C$10,MATCH(B127,'01_Benchmark_Input'!$A$2:$A$10,0))</f>
        <v/>
      </c>
      <c r="K127" s="10">
        <f>IF(A127="Bear",INDEX('01_Benchmark_Input'!$K$2:$K$10,MATCH(B127,'01_Benchmark_Input'!$A$2:$A$10,0)),IF(A127="Bull",INDEX('01_Benchmark_Input'!$M$2:$M$10,MATCH(B127,'01_Benchmark_Input'!$A$2:$A$10,0)),INDEX('01_Benchmark_Input'!$L$2:$L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9">
        <f>INDEX('01_Benchmark_Input'!$B$2:$B$10,MATCH(B128,'01_Benchmark_Input'!$A$2:$A$10,0))</f>
        <v/>
      </c>
      <c r="J128" s="9">
        <f>INDEX('01_Benchmark_Input'!$C$2:$C$10,MATCH(B128,'01_Benchmark_Input'!$A$2:$A$10,0))</f>
        <v/>
      </c>
      <c r="K128" s="10">
        <f>IF(A128="Bear",INDEX('01_Benchmark_Input'!$K$2:$K$10,MATCH(B128,'01_Benchmark_Input'!$A$2:$A$10,0)),IF(A128="Bull",INDEX('01_Benchmark_Input'!$M$2:$M$10,MATCH(B128,'01_Benchmark_Input'!$A$2:$A$10,0)),INDEX('01_Benchmark_Input'!$L$2:$L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9">
        <f>INDEX('01_Benchmark_Input'!$B$2:$B$10,MATCH(B129,'01_Benchmark_Input'!$A$2:$A$10,0))</f>
        <v/>
      </c>
      <c r="J129" s="9">
        <f>INDEX('01_Benchmark_Input'!$C$2:$C$10,MATCH(B129,'01_Benchmark_Input'!$A$2:$A$10,0))</f>
        <v/>
      </c>
      <c r="K129" s="10">
        <f>IF(A129="Bear",INDEX('01_Benchmark_Input'!$K$2:$K$10,MATCH(B129,'01_Benchmark_Input'!$A$2:$A$10,0)),IF(A129="Bull",INDEX('01_Benchmark_Input'!$M$2:$M$10,MATCH(B129,'01_Benchmark_Input'!$A$2:$A$10,0)),INDEX('01_Benchmark_Input'!$L$2:$L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9">
        <f>INDEX('01_Benchmark_Input'!$B$2:$B$10,MATCH(B130,'01_Benchmark_Input'!$A$2:$A$10,0))</f>
        <v/>
      </c>
      <c r="J130" s="9">
        <f>INDEX('01_Benchmark_Input'!$C$2:$C$10,MATCH(B130,'01_Benchmark_Input'!$A$2:$A$10,0))</f>
        <v/>
      </c>
      <c r="K130" s="10">
        <f>IF(A130="Bear",INDEX('01_Benchmark_Input'!$K$2:$K$10,MATCH(B130,'01_Benchmark_Input'!$A$2:$A$10,0)),IF(A130="Bull",INDEX('01_Benchmark_Input'!$M$2:$M$10,MATCH(B130,'01_Benchmark_Input'!$A$2:$A$10,0)),INDEX('01_Benchmark_Input'!$L$2:$L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9">
        <f>INDEX('01_Benchmark_Input'!$B$2:$B$10,MATCH(B131,'01_Benchmark_Input'!$A$2:$A$10,0))</f>
        <v/>
      </c>
      <c r="J131" s="9">
        <f>INDEX('01_Benchmark_Input'!$C$2:$C$10,MATCH(B131,'01_Benchmark_Input'!$A$2:$A$10,0))</f>
        <v/>
      </c>
      <c r="K131" s="10">
        <f>IF(A131="Bear",INDEX('01_Benchmark_Input'!$K$2:$K$10,MATCH(B131,'01_Benchmark_Input'!$A$2:$A$10,0)),IF(A131="Bull",INDEX('01_Benchmark_Input'!$M$2:$M$10,MATCH(B131,'01_Benchmark_Input'!$A$2:$A$10,0)),INDEX('01_Benchmark_Input'!$L$2:$L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9">
        <f>INDEX('01_Benchmark_Input'!$B$2:$B$10,MATCH(B132,'01_Benchmark_Input'!$A$2:$A$10,0))</f>
        <v/>
      </c>
      <c r="J132" s="9">
        <f>INDEX('01_Benchmark_Input'!$C$2:$C$10,MATCH(B132,'01_Benchmark_Input'!$A$2:$A$10,0))</f>
        <v/>
      </c>
      <c r="K132" s="10">
        <f>IF(A132="Bear",INDEX('01_Benchmark_Input'!$K$2:$K$10,MATCH(B132,'01_Benchmark_Input'!$A$2:$A$10,0)),IF(A132="Bull",INDEX('01_Benchmark_Input'!$M$2:$M$10,MATCH(B132,'01_Benchmark_Input'!$A$2:$A$10,0)),INDEX('01_Benchmark_Input'!$L$2:$L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9">
        <f>INDEX('01_Benchmark_Input'!$B$2:$B$10,MATCH(B133,'01_Benchmark_Input'!$A$2:$A$10,0))</f>
        <v/>
      </c>
      <c r="J133" s="9">
        <f>INDEX('01_Benchmark_Input'!$C$2:$C$10,MATCH(B133,'01_Benchmark_Input'!$A$2:$A$10,0))</f>
        <v/>
      </c>
      <c r="K133" s="10">
        <f>IF(A133="Bear",INDEX('01_Benchmark_Input'!$K$2:$K$10,MATCH(B133,'01_Benchmark_Input'!$A$2:$A$10,0)),IF(A133="Bull",INDEX('01_Benchmark_Input'!$M$2:$M$10,MATCH(B133,'01_Benchmark_Input'!$A$2:$A$10,0)),INDEX('01_Benchmark_Input'!$L$2:$L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9">
        <f>INDEX('01_Benchmark_Input'!$B$2:$B$10,MATCH(B134,'01_Benchmark_Input'!$A$2:$A$10,0))</f>
        <v/>
      </c>
      <c r="J134" s="9">
        <f>INDEX('01_Benchmark_Input'!$C$2:$C$10,MATCH(B134,'01_Benchmark_Input'!$A$2:$A$10,0))</f>
        <v/>
      </c>
      <c r="K134" s="10">
        <f>IF(A134="Bear",INDEX('01_Benchmark_Input'!$K$2:$K$10,MATCH(B134,'01_Benchmark_Input'!$A$2:$A$10,0)),IF(A134="Bull",INDEX('01_Benchmark_Input'!$M$2:$M$10,MATCH(B134,'01_Benchmark_Input'!$A$2:$A$10,0)),INDEX('01_Benchmark_Input'!$L$2:$L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9">
        <f>INDEX('01_Benchmark_Input'!$B$2:$B$10,MATCH(B135,'01_Benchmark_Input'!$A$2:$A$10,0))</f>
        <v/>
      </c>
      <c r="J135" s="9">
        <f>INDEX('01_Benchmark_Input'!$C$2:$C$10,MATCH(B135,'01_Benchmark_Input'!$A$2:$A$10,0))</f>
        <v/>
      </c>
      <c r="K135" s="10">
        <f>IF(A135="Bear",INDEX('01_Benchmark_Input'!$K$2:$K$10,MATCH(B135,'01_Benchmark_Input'!$A$2:$A$10,0)),IF(A135="Bull",INDEX('01_Benchmark_Input'!$M$2:$M$10,MATCH(B135,'01_Benchmark_Input'!$A$2:$A$10,0)),INDEX('01_Benchmark_Input'!$L$2:$L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9">
        <f>INDEX('01_Benchmark_Input'!$B$2:$B$10,MATCH(B136,'01_Benchmark_Input'!$A$2:$A$10,0))</f>
        <v/>
      </c>
      <c r="J136" s="9">
        <f>INDEX('01_Benchmark_Input'!$C$2:$C$10,MATCH(B136,'01_Benchmark_Input'!$A$2:$A$10,0))</f>
        <v/>
      </c>
      <c r="K136" s="10">
        <f>IF(A136="Bear",INDEX('01_Benchmark_Input'!$K$2:$K$10,MATCH(B136,'01_Benchmark_Input'!$A$2:$A$10,0)),IF(A136="Bull",INDEX('01_Benchmark_Input'!$M$2:$M$10,MATCH(B136,'01_Benchmark_Input'!$A$2:$A$10,0)),INDEX('01_Benchmark_Input'!$L$2:$L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9">
        <f>INDEX('01_Benchmark_Input'!$B$2:$B$10,MATCH(B137,'01_Benchmark_Input'!$A$2:$A$10,0))</f>
        <v/>
      </c>
      <c r="J137" s="9">
        <f>INDEX('01_Benchmark_Input'!$C$2:$C$10,MATCH(B137,'01_Benchmark_Input'!$A$2:$A$10,0))</f>
        <v/>
      </c>
      <c r="K137" s="10">
        <f>IF(A137="Bear",INDEX('01_Benchmark_Input'!$K$2:$K$10,MATCH(B137,'01_Benchmark_Input'!$A$2:$A$10,0)),IF(A137="Bull",INDEX('01_Benchmark_Input'!$M$2:$M$10,MATCH(B137,'01_Benchmark_Input'!$A$2:$A$10,0)),INDEX('01_Benchmark_Input'!$L$2:$L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9">
        <f>INDEX('01_Benchmark_Input'!$B$2:$B$10,MATCH(B138,'01_Benchmark_Input'!$A$2:$A$10,0))</f>
        <v/>
      </c>
      <c r="J138" s="9">
        <f>INDEX('01_Benchmark_Input'!$C$2:$C$10,MATCH(B138,'01_Benchmark_Input'!$A$2:$A$10,0))</f>
        <v/>
      </c>
      <c r="K138" s="10">
        <f>IF(A138="Bear",INDEX('01_Benchmark_Input'!$K$2:$K$10,MATCH(B138,'01_Benchmark_Input'!$A$2:$A$10,0)),IF(A138="Bull",INDEX('01_Benchmark_Input'!$M$2:$M$10,MATCH(B138,'01_Benchmark_Input'!$A$2:$A$10,0)),INDEX('01_Benchmark_Input'!$L$2:$L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9">
        <f>INDEX('01_Benchmark_Input'!$B$2:$B$10,MATCH(B139,'01_Benchmark_Input'!$A$2:$A$10,0))</f>
        <v/>
      </c>
      <c r="J139" s="9">
        <f>INDEX('01_Benchmark_Input'!$C$2:$C$10,MATCH(B139,'01_Benchmark_Input'!$A$2:$A$10,0))</f>
        <v/>
      </c>
      <c r="K139" s="10">
        <f>IF(A139="Bear",INDEX('01_Benchmark_Input'!$K$2:$K$10,MATCH(B139,'01_Benchmark_Input'!$A$2:$A$10,0)),IF(A139="Bull",INDEX('01_Benchmark_Input'!$M$2:$M$10,MATCH(B139,'01_Benchmark_Input'!$A$2:$A$10,0)),INDEX('01_Benchmark_Input'!$L$2:$L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9">
        <f>INDEX('01_Benchmark_Input'!$B$2:$B$10,MATCH(B140,'01_Benchmark_Input'!$A$2:$A$10,0))</f>
        <v/>
      </c>
      <c r="J140" s="9">
        <f>INDEX('01_Benchmark_Input'!$C$2:$C$10,MATCH(B140,'01_Benchmark_Input'!$A$2:$A$10,0))</f>
        <v/>
      </c>
      <c r="K140" s="10">
        <f>IF(A140="Bear",INDEX('01_Benchmark_Input'!$K$2:$K$10,MATCH(B140,'01_Benchmark_Input'!$A$2:$A$10,0)),IF(A140="Bull",INDEX('01_Benchmark_Input'!$M$2:$M$10,MATCH(B140,'01_Benchmark_Input'!$A$2:$A$10,0)),INDEX('01_Benchmark_Input'!$L$2:$L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9">
        <f>INDEX('01_Benchmark_Input'!$B$2:$B$10,MATCH(B141,'01_Benchmark_Input'!$A$2:$A$10,0))</f>
        <v/>
      </c>
      <c r="J141" s="9">
        <f>INDEX('01_Benchmark_Input'!$C$2:$C$10,MATCH(B141,'01_Benchmark_Input'!$A$2:$A$10,0))</f>
        <v/>
      </c>
      <c r="K141" s="10">
        <f>IF(A141="Bear",INDEX('01_Benchmark_Input'!$K$2:$K$10,MATCH(B141,'01_Benchmark_Input'!$A$2:$A$10,0)),IF(A141="Bull",INDEX('01_Benchmark_Input'!$M$2:$M$10,MATCH(B141,'01_Benchmark_Input'!$A$2:$A$10,0)),INDEX('01_Benchmark_Input'!$L$2:$L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9">
        <f>INDEX('01_Benchmark_Input'!$B$2:$B$10,MATCH(B142,'01_Benchmark_Input'!$A$2:$A$10,0))</f>
        <v/>
      </c>
      <c r="J142" s="9">
        <f>INDEX('01_Benchmark_Input'!$C$2:$C$10,MATCH(B142,'01_Benchmark_Input'!$A$2:$A$10,0))</f>
        <v/>
      </c>
      <c r="K142" s="10">
        <f>IF(A142="Bear",INDEX('01_Benchmark_Input'!$K$2:$K$10,MATCH(B142,'01_Benchmark_Input'!$A$2:$A$10,0)),IF(A142="Bull",INDEX('01_Benchmark_Input'!$M$2:$M$10,MATCH(B142,'01_Benchmark_Input'!$A$2:$A$10,0)),INDEX('01_Benchmark_Input'!$L$2:$L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9">
        <f>INDEX('01_Benchmark_Input'!$B$2:$B$10,MATCH(B143,'01_Benchmark_Input'!$A$2:$A$10,0))</f>
        <v/>
      </c>
      <c r="J143" s="9">
        <f>INDEX('01_Benchmark_Input'!$C$2:$C$10,MATCH(B143,'01_Benchmark_Input'!$A$2:$A$10,0))</f>
        <v/>
      </c>
      <c r="K143" s="10">
        <f>IF(A143="Bear",INDEX('01_Benchmark_Input'!$K$2:$K$10,MATCH(B143,'01_Benchmark_Input'!$A$2:$A$10,0)),IF(A143="Bull",INDEX('01_Benchmark_Input'!$M$2:$M$10,MATCH(B143,'01_Benchmark_Input'!$A$2:$A$10,0)),INDEX('01_Benchmark_Input'!$L$2:$L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9">
        <f>INDEX('01_Benchmark_Input'!$B$2:$B$10,MATCH(B144,'01_Benchmark_Input'!$A$2:$A$10,0))</f>
        <v/>
      </c>
      <c r="J144" s="9">
        <f>INDEX('01_Benchmark_Input'!$C$2:$C$10,MATCH(B144,'01_Benchmark_Input'!$A$2:$A$10,0))</f>
        <v/>
      </c>
      <c r="K144" s="10">
        <f>IF(A144="Bear",INDEX('01_Benchmark_Input'!$K$2:$K$10,MATCH(B144,'01_Benchmark_Input'!$A$2:$A$10,0)),IF(A144="Bull",INDEX('01_Benchmark_Input'!$M$2:$M$10,MATCH(B144,'01_Benchmark_Input'!$A$2:$A$10,0)),INDEX('01_Benchmark_Input'!$L$2:$L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9">
        <f>INDEX('01_Benchmark_Input'!$B$2:$B$10,MATCH(B145,'01_Benchmark_Input'!$A$2:$A$10,0))</f>
        <v/>
      </c>
      <c r="J145" s="9">
        <f>INDEX('01_Benchmark_Input'!$C$2:$C$10,MATCH(B145,'01_Benchmark_Input'!$A$2:$A$10,0))</f>
        <v/>
      </c>
      <c r="K145" s="10">
        <f>IF(A145="Bear",INDEX('01_Benchmark_Input'!$K$2:$K$10,MATCH(B145,'01_Benchmark_Input'!$A$2:$A$10,0)),IF(A145="Bull",INDEX('01_Benchmark_Input'!$M$2:$M$10,MATCH(B145,'01_Benchmark_Input'!$A$2:$A$10,0)),INDEX('01_Benchmark_Input'!$L$2:$L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9">
        <f>INDEX('01_Benchmark_Input'!$B$2:$B$10,MATCH(B146,'01_Benchmark_Input'!$A$2:$A$10,0))</f>
        <v/>
      </c>
      <c r="J146" s="9">
        <f>INDEX('01_Benchmark_Input'!$C$2:$C$10,MATCH(B146,'01_Benchmark_Input'!$A$2:$A$10,0))</f>
        <v/>
      </c>
      <c r="K146" s="10">
        <f>IF(A146="Bear",INDEX('01_Benchmark_Input'!$K$2:$K$10,MATCH(B146,'01_Benchmark_Input'!$A$2:$A$10,0)),IF(A146="Bull",INDEX('01_Benchmark_Input'!$M$2:$M$10,MATCH(B146,'01_Benchmark_Input'!$A$2:$A$10,0)),INDEX('01_Benchmark_Input'!$L$2:$L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9">
        <f>INDEX('01_Benchmark_Input'!$B$2:$B$10,MATCH(B147,'01_Benchmark_Input'!$A$2:$A$10,0))</f>
        <v/>
      </c>
      <c r="J147" s="9">
        <f>INDEX('01_Benchmark_Input'!$C$2:$C$10,MATCH(B147,'01_Benchmark_Input'!$A$2:$A$10,0))</f>
        <v/>
      </c>
      <c r="K147" s="10">
        <f>IF(A147="Bear",INDEX('01_Benchmark_Input'!$K$2:$K$10,MATCH(B147,'01_Benchmark_Input'!$A$2:$A$10,0)),IF(A147="Bull",INDEX('01_Benchmark_Input'!$M$2:$M$10,MATCH(B147,'01_Benchmark_Input'!$A$2:$A$10,0)),INDEX('01_Benchmark_Input'!$L$2:$L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9">
        <f>INDEX('01_Benchmark_Input'!$B$2:$B$10,MATCH(B148,'01_Benchmark_Input'!$A$2:$A$10,0))</f>
        <v/>
      </c>
      <c r="J148" s="9">
        <f>INDEX('01_Benchmark_Input'!$C$2:$C$10,MATCH(B148,'01_Benchmark_Input'!$A$2:$A$10,0))</f>
        <v/>
      </c>
      <c r="K148" s="10">
        <f>IF(A148="Bear",INDEX('01_Benchmark_Input'!$K$2:$K$10,MATCH(B148,'01_Benchmark_Input'!$A$2:$A$10,0)),IF(A148="Bull",INDEX('01_Benchmark_Input'!$M$2:$M$10,MATCH(B148,'01_Benchmark_Input'!$A$2:$A$10,0)),INDEX('01_Benchmark_Input'!$L$2:$L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9">
        <f>INDEX('01_Benchmark_Input'!$B$2:$B$10,MATCH(B149,'01_Benchmark_Input'!$A$2:$A$10,0))</f>
        <v/>
      </c>
      <c r="J149" s="9">
        <f>INDEX('01_Benchmark_Input'!$C$2:$C$10,MATCH(B149,'01_Benchmark_Input'!$A$2:$A$10,0))</f>
        <v/>
      </c>
      <c r="K149" s="10">
        <f>IF(A149="Bear",INDEX('01_Benchmark_Input'!$K$2:$K$10,MATCH(B149,'01_Benchmark_Input'!$A$2:$A$10,0)),IF(A149="Bull",INDEX('01_Benchmark_Input'!$M$2:$M$10,MATCH(B149,'01_Benchmark_Input'!$A$2:$A$10,0)),INDEX('01_Benchmark_Input'!$L$2:$L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9">
        <f>INDEX('01_Benchmark_Input'!$B$2:$B$10,MATCH(B150,'01_Benchmark_Input'!$A$2:$A$10,0))</f>
        <v/>
      </c>
      <c r="J150" s="9">
        <f>INDEX('01_Benchmark_Input'!$C$2:$C$10,MATCH(B150,'01_Benchmark_Input'!$A$2:$A$10,0))</f>
        <v/>
      </c>
      <c r="K150" s="10">
        <f>IF(A150="Bear",INDEX('01_Benchmark_Input'!$K$2:$K$10,MATCH(B150,'01_Benchmark_Input'!$A$2:$A$10,0)),IF(A150="Bull",INDEX('01_Benchmark_Input'!$M$2:$M$10,MATCH(B150,'01_Benchmark_Input'!$A$2:$A$10,0)),INDEX('01_Benchmark_Input'!$L$2:$L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9">
        <f>INDEX('01_Benchmark_Input'!$B$2:$B$10,MATCH(B151,'01_Benchmark_Input'!$A$2:$A$10,0))</f>
        <v/>
      </c>
      <c r="J151" s="9">
        <f>INDEX('01_Benchmark_Input'!$C$2:$C$10,MATCH(B151,'01_Benchmark_Input'!$A$2:$A$10,0))</f>
        <v/>
      </c>
      <c r="K151" s="10">
        <f>IF(A151="Bear",INDEX('01_Benchmark_Input'!$K$2:$K$10,MATCH(B151,'01_Benchmark_Input'!$A$2:$A$10,0)),IF(A151="Bull",INDEX('01_Benchmark_Input'!$M$2:$M$10,MATCH(B151,'01_Benchmark_Input'!$A$2:$A$10,0)),INDEX('01_Benchmark_Input'!$L$2:$L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9">
        <f>INDEX('01_Benchmark_Input'!$B$2:$B$10,MATCH(B152,'01_Benchmark_Input'!$A$2:$A$10,0))</f>
        <v/>
      </c>
      <c r="J152" s="9">
        <f>INDEX('01_Benchmark_Input'!$C$2:$C$10,MATCH(B152,'01_Benchmark_Input'!$A$2:$A$10,0))</f>
        <v/>
      </c>
      <c r="K152" s="10">
        <f>IF(A152="Bear",INDEX('01_Benchmark_Input'!$K$2:$K$10,MATCH(B152,'01_Benchmark_Input'!$A$2:$A$10,0)),IF(A152="Bull",INDEX('01_Benchmark_Input'!$M$2:$M$10,MATCH(B152,'01_Benchmark_Input'!$A$2:$A$10,0)),INDEX('01_Benchmark_Input'!$L$2:$L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9">
        <f>INDEX('01_Benchmark_Input'!$B$2:$B$10,MATCH(B153,'01_Benchmark_Input'!$A$2:$A$10,0))</f>
        <v/>
      </c>
      <c r="J153" s="9">
        <f>INDEX('01_Benchmark_Input'!$C$2:$C$10,MATCH(B153,'01_Benchmark_Input'!$A$2:$A$10,0))</f>
        <v/>
      </c>
      <c r="K153" s="10">
        <f>IF(A153="Bear",INDEX('01_Benchmark_Input'!$K$2:$K$10,MATCH(B153,'01_Benchmark_Input'!$A$2:$A$10,0)),IF(A153="Bull",INDEX('01_Benchmark_Input'!$M$2:$M$10,MATCH(B153,'01_Benchmark_Input'!$A$2:$A$10,0)),INDEX('01_Benchmark_Input'!$L$2:$L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9">
        <f>INDEX('01_Benchmark_Input'!$B$2:$B$10,MATCH(B154,'01_Benchmark_Input'!$A$2:$A$10,0))</f>
        <v/>
      </c>
      <c r="J154" s="9">
        <f>INDEX('01_Benchmark_Input'!$C$2:$C$10,MATCH(B154,'01_Benchmark_Input'!$A$2:$A$10,0))</f>
        <v/>
      </c>
      <c r="K154" s="10">
        <f>IF(A154="Bear",INDEX('01_Benchmark_Input'!$K$2:$K$10,MATCH(B154,'01_Benchmark_Input'!$A$2:$A$10,0)),IF(A154="Bull",INDEX('01_Benchmark_Input'!$M$2:$M$10,MATCH(B154,'01_Benchmark_Input'!$A$2:$A$10,0)),INDEX('01_Benchmark_Input'!$L$2:$L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9">
        <f>INDEX('01_Benchmark_Input'!$B$2:$B$10,MATCH(B155,'01_Benchmark_Input'!$A$2:$A$10,0))</f>
        <v/>
      </c>
      <c r="J155" s="9">
        <f>INDEX('01_Benchmark_Input'!$C$2:$C$10,MATCH(B155,'01_Benchmark_Input'!$A$2:$A$10,0))</f>
        <v/>
      </c>
      <c r="K155" s="10">
        <f>IF(A155="Bear",INDEX('01_Benchmark_Input'!$K$2:$K$10,MATCH(B155,'01_Benchmark_Input'!$A$2:$A$10,0)),IF(A155="Bull",INDEX('01_Benchmark_Input'!$M$2:$M$10,MATCH(B155,'01_Benchmark_Input'!$A$2:$A$10,0)),INDEX('01_Benchmark_Input'!$L$2:$L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9">
        <f>INDEX('01_Benchmark_Input'!$B$2:$B$10,MATCH(B156,'01_Benchmark_Input'!$A$2:$A$10,0))</f>
        <v/>
      </c>
      <c r="J156" s="9">
        <f>INDEX('01_Benchmark_Input'!$C$2:$C$10,MATCH(B156,'01_Benchmark_Input'!$A$2:$A$10,0))</f>
        <v/>
      </c>
      <c r="K156" s="10">
        <f>IF(A156="Bear",INDEX('01_Benchmark_Input'!$K$2:$K$10,MATCH(B156,'01_Benchmark_Input'!$A$2:$A$10,0)),IF(A156="Bull",INDEX('01_Benchmark_Input'!$M$2:$M$10,MATCH(B156,'01_Benchmark_Input'!$A$2:$A$10,0)),INDEX('01_Benchmark_Input'!$L$2:$L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9">
        <f>INDEX('01_Benchmark_Input'!$B$2:$B$10,MATCH(B157,'01_Benchmark_Input'!$A$2:$A$10,0))</f>
        <v/>
      </c>
      <c r="J157" s="9">
        <f>INDEX('01_Benchmark_Input'!$C$2:$C$10,MATCH(B157,'01_Benchmark_Input'!$A$2:$A$10,0))</f>
        <v/>
      </c>
      <c r="K157" s="10">
        <f>IF(A157="Bear",INDEX('01_Benchmark_Input'!$K$2:$K$10,MATCH(B157,'01_Benchmark_Input'!$A$2:$A$10,0)),IF(A157="Bull",INDEX('01_Benchmark_Input'!$M$2:$M$10,MATCH(B157,'01_Benchmark_Input'!$A$2:$A$10,0)),INDEX('01_Benchmark_Input'!$L$2:$L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9">
        <f>INDEX('01_Benchmark_Input'!$B$2:$B$10,MATCH(B158,'01_Benchmark_Input'!$A$2:$A$10,0))</f>
        <v/>
      </c>
      <c r="J158" s="9">
        <f>INDEX('01_Benchmark_Input'!$C$2:$C$10,MATCH(B158,'01_Benchmark_Input'!$A$2:$A$10,0))</f>
        <v/>
      </c>
      <c r="K158" s="10">
        <f>IF(A158="Bear",INDEX('01_Benchmark_Input'!$K$2:$K$10,MATCH(B158,'01_Benchmark_Input'!$A$2:$A$10,0)),IF(A158="Bull",INDEX('01_Benchmark_Input'!$M$2:$M$10,MATCH(B158,'01_Benchmark_Input'!$A$2:$A$10,0)),INDEX('01_Benchmark_Input'!$L$2:$L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9">
        <f>INDEX('01_Benchmark_Input'!$B$2:$B$10,MATCH(B159,'01_Benchmark_Input'!$A$2:$A$10,0))</f>
        <v/>
      </c>
      <c r="J159" s="9">
        <f>INDEX('01_Benchmark_Input'!$C$2:$C$10,MATCH(B159,'01_Benchmark_Input'!$A$2:$A$10,0))</f>
        <v/>
      </c>
      <c r="K159" s="10">
        <f>IF(A159="Bear",INDEX('01_Benchmark_Input'!$K$2:$K$10,MATCH(B159,'01_Benchmark_Input'!$A$2:$A$10,0)),IF(A159="Bull",INDEX('01_Benchmark_Input'!$M$2:$M$10,MATCH(B159,'01_Benchmark_Input'!$A$2:$A$10,0)),INDEX('01_Benchmark_Input'!$L$2:$L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9">
        <f>INDEX('01_Benchmark_Input'!$B$2:$B$10,MATCH(B160,'01_Benchmark_Input'!$A$2:$A$10,0))</f>
        <v/>
      </c>
      <c r="J160" s="9">
        <f>INDEX('01_Benchmark_Input'!$C$2:$C$10,MATCH(B160,'01_Benchmark_Input'!$A$2:$A$10,0))</f>
        <v/>
      </c>
      <c r="K160" s="10">
        <f>IF(A160="Bear",INDEX('01_Benchmark_Input'!$K$2:$K$10,MATCH(B160,'01_Benchmark_Input'!$A$2:$A$10,0)),IF(A160="Bull",INDEX('01_Benchmark_Input'!$M$2:$M$10,MATCH(B160,'01_Benchmark_Input'!$A$2:$A$10,0)),INDEX('01_Benchmark_Input'!$L$2:$L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9">
        <f>INDEX('01_Benchmark_Input'!$B$2:$B$10,MATCH(B161,'01_Benchmark_Input'!$A$2:$A$10,0))</f>
        <v/>
      </c>
      <c r="J161" s="9">
        <f>INDEX('01_Benchmark_Input'!$C$2:$C$10,MATCH(B161,'01_Benchmark_Input'!$A$2:$A$10,0))</f>
        <v/>
      </c>
      <c r="K161" s="10">
        <f>IF(A161="Bear",INDEX('01_Benchmark_Input'!$K$2:$K$10,MATCH(B161,'01_Benchmark_Input'!$A$2:$A$10,0)),IF(A161="Bull",INDEX('01_Benchmark_Input'!$M$2:$M$10,MATCH(B161,'01_Benchmark_Input'!$A$2:$A$10,0)),INDEX('01_Benchmark_Input'!$L$2:$L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9">
        <f>INDEX('01_Benchmark_Input'!$B$2:$B$10,MATCH(B162,'01_Benchmark_Input'!$A$2:$A$10,0))</f>
        <v/>
      </c>
      <c r="J162" s="9">
        <f>INDEX('01_Benchmark_Input'!$C$2:$C$10,MATCH(B162,'01_Benchmark_Input'!$A$2:$A$10,0))</f>
        <v/>
      </c>
      <c r="K162" s="10">
        <f>IF(A162="Bear",INDEX('01_Benchmark_Input'!$K$2:$K$10,MATCH(B162,'01_Benchmark_Input'!$A$2:$A$10,0)),IF(A162="Bull",INDEX('01_Benchmark_Input'!$M$2:$M$10,MATCH(B162,'01_Benchmark_Input'!$A$2:$A$10,0)),INDEX('01_Benchmark_Input'!$L$2:$L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9">
        <f>INDEX('01_Benchmark_Input'!$B$2:$B$10,MATCH(B163,'01_Benchmark_Input'!$A$2:$A$10,0))</f>
        <v/>
      </c>
      <c r="J163" s="9">
        <f>INDEX('01_Benchmark_Input'!$C$2:$C$10,MATCH(B163,'01_Benchmark_Input'!$A$2:$A$10,0))</f>
        <v/>
      </c>
      <c r="K163" s="10">
        <f>IF(A163="Bear",INDEX('01_Benchmark_Input'!$K$2:$K$10,MATCH(B163,'01_Benchmark_Input'!$A$2:$A$10,0)),IF(A163="Bull",INDEX('01_Benchmark_Input'!$M$2:$M$10,MATCH(B163,'01_Benchmark_Input'!$A$2:$A$10,0)),INDEX('01_Benchmark_Input'!$L$2:$L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9">
        <f>INDEX('01_Benchmark_Input'!$B$2:$B$10,MATCH(B164,'01_Benchmark_Input'!$A$2:$A$10,0))</f>
        <v/>
      </c>
      <c r="J164" s="9">
        <f>INDEX('01_Benchmark_Input'!$C$2:$C$10,MATCH(B164,'01_Benchmark_Input'!$A$2:$A$10,0))</f>
        <v/>
      </c>
      <c r="K164" s="10">
        <f>IF(A164="Bear",INDEX('01_Benchmark_Input'!$K$2:$K$10,MATCH(B164,'01_Benchmark_Input'!$A$2:$A$10,0)),IF(A164="Bull",INDEX('01_Benchmark_Input'!$M$2:$M$10,MATCH(B164,'01_Benchmark_Input'!$A$2:$A$10,0)),INDEX('01_Benchmark_Input'!$L$2:$L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9">
        <f>INDEX('01_Benchmark_Input'!$B$2:$B$10,MATCH(B165,'01_Benchmark_Input'!$A$2:$A$10,0))</f>
        <v/>
      </c>
      <c r="J165" s="9">
        <f>INDEX('01_Benchmark_Input'!$C$2:$C$10,MATCH(B165,'01_Benchmark_Input'!$A$2:$A$10,0))</f>
        <v/>
      </c>
      <c r="K165" s="10">
        <f>IF(A165="Bear",INDEX('01_Benchmark_Input'!$K$2:$K$10,MATCH(B165,'01_Benchmark_Input'!$A$2:$A$10,0)),IF(A165="Bull",INDEX('01_Benchmark_Input'!$M$2:$M$10,MATCH(B165,'01_Benchmark_Input'!$A$2:$A$10,0)),INDEX('01_Benchmark_Input'!$L$2:$L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9">
        <f>INDEX('01_Benchmark_Input'!$B$2:$B$10,MATCH(B166,'01_Benchmark_Input'!$A$2:$A$10,0))</f>
        <v/>
      </c>
      <c r="J166" s="9">
        <f>INDEX('01_Benchmark_Input'!$C$2:$C$10,MATCH(B166,'01_Benchmark_Input'!$A$2:$A$10,0))</f>
        <v/>
      </c>
      <c r="K166" s="10">
        <f>IF(A166="Bear",INDEX('01_Benchmark_Input'!$K$2:$K$10,MATCH(B166,'01_Benchmark_Input'!$A$2:$A$10,0)),IF(A166="Bull",INDEX('01_Benchmark_Input'!$M$2:$M$10,MATCH(B166,'01_Benchmark_Input'!$A$2:$A$10,0)),INDEX('01_Benchmark_Input'!$L$2:$L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9">
        <f>INDEX('01_Benchmark_Input'!$B$2:$B$10,MATCH(B167,'01_Benchmark_Input'!$A$2:$A$10,0))</f>
        <v/>
      </c>
      <c r="J167" s="9">
        <f>INDEX('01_Benchmark_Input'!$C$2:$C$10,MATCH(B167,'01_Benchmark_Input'!$A$2:$A$10,0))</f>
        <v/>
      </c>
      <c r="K167" s="10">
        <f>IF(A167="Bear",INDEX('01_Benchmark_Input'!$K$2:$K$10,MATCH(B167,'01_Benchmark_Input'!$A$2:$A$10,0)),IF(A167="Bull",INDEX('01_Benchmark_Input'!$M$2:$M$10,MATCH(B167,'01_Benchmark_Input'!$A$2:$A$10,0)),INDEX('01_Benchmark_Input'!$L$2:$L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9">
        <f>INDEX('01_Benchmark_Input'!$B$2:$B$10,MATCH(B168,'01_Benchmark_Input'!$A$2:$A$10,0))</f>
        <v/>
      </c>
      <c r="J168" s="9">
        <f>INDEX('01_Benchmark_Input'!$C$2:$C$10,MATCH(B168,'01_Benchmark_Input'!$A$2:$A$10,0))</f>
        <v/>
      </c>
      <c r="K168" s="10">
        <f>IF(A168="Bear",INDEX('01_Benchmark_Input'!$K$2:$K$10,MATCH(B168,'01_Benchmark_Input'!$A$2:$A$10,0)),IF(A168="Bull",INDEX('01_Benchmark_Input'!$M$2:$M$10,MATCH(B168,'01_Benchmark_Input'!$A$2:$A$10,0)),INDEX('01_Benchmark_Input'!$L$2:$L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9">
        <f>INDEX('01_Benchmark_Input'!$B$2:$B$10,MATCH(B169,'01_Benchmark_Input'!$A$2:$A$10,0))</f>
        <v/>
      </c>
      <c r="J169" s="9">
        <f>INDEX('01_Benchmark_Input'!$C$2:$C$10,MATCH(B169,'01_Benchmark_Input'!$A$2:$A$10,0))</f>
        <v/>
      </c>
      <c r="K169" s="10">
        <f>IF(A169="Bear",INDEX('01_Benchmark_Input'!$K$2:$K$10,MATCH(B169,'01_Benchmark_Input'!$A$2:$A$10,0)),IF(A169="Bull",INDEX('01_Benchmark_Input'!$M$2:$M$10,MATCH(B169,'01_Benchmark_Input'!$A$2:$A$10,0)),INDEX('01_Benchmark_Input'!$L$2:$L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9">
        <f>INDEX('01_Benchmark_Input'!$B$2:$B$10,MATCH(B170,'01_Benchmark_Input'!$A$2:$A$10,0))</f>
        <v/>
      </c>
      <c r="J170" s="9">
        <f>INDEX('01_Benchmark_Input'!$C$2:$C$10,MATCH(B170,'01_Benchmark_Input'!$A$2:$A$10,0))</f>
        <v/>
      </c>
      <c r="K170" s="10">
        <f>IF(A170="Bear",INDEX('01_Benchmark_Input'!$K$2:$K$10,MATCH(B170,'01_Benchmark_Input'!$A$2:$A$10,0)),IF(A170="Bull",INDEX('01_Benchmark_Input'!$M$2:$M$10,MATCH(B170,'01_Benchmark_Input'!$A$2:$A$10,0)),INDEX('01_Benchmark_Input'!$L$2:$L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9">
        <f>INDEX('01_Benchmark_Input'!$B$2:$B$10,MATCH(B171,'01_Benchmark_Input'!$A$2:$A$10,0))</f>
        <v/>
      </c>
      <c r="J171" s="9">
        <f>INDEX('01_Benchmark_Input'!$C$2:$C$10,MATCH(B171,'01_Benchmark_Input'!$A$2:$A$10,0))</f>
        <v/>
      </c>
      <c r="K171" s="10">
        <f>IF(A171="Bear",INDEX('01_Benchmark_Input'!$K$2:$K$10,MATCH(B171,'01_Benchmark_Input'!$A$2:$A$10,0)),IF(A171="Bull",INDEX('01_Benchmark_Input'!$M$2:$M$10,MATCH(B171,'01_Benchmark_Input'!$A$2:$A$10,0)),INDEX('01_Benchmark_Input'!$L$2:$L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9">
        <f>INDEX('01_Benchmark_Input'!$B$2:$B$10,MATCH(B172,'01_Benchmark_Input'!$A$2:$A$10,0))</f>
        <v/>
      </c>
      <c r="J172" s="9">
        <f>INDEX('01_Benchmark_Input'!$C$2:$C$10,MATCH(B172,'01_Benchmark_Input'!$A$2:$A$10,0))</f>
        <v/>
      </c>
      <c r="K172" s="10">
        <f>IF(A172="Bear",INDEX('01_Benchmark_Input'!$K$2:$K$10,MATCH(B172,'01_Benchmark_Input'!$A$2:$A$10,0)),IF(A172="Bull",INDEX('01_Benchmark_Input'!$M$2:$M$10,MATCH(B172,'01_Benchmark_Input'!$A$2:$A$10,0)),INDEX('01_Benchmark_Input'!$L$2:$L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9">
        <f>INDEX('01_Benchmark_Input'!$B$2:$B$10,MATCH(B173,'01_Benchmark_Input'!$A$2:$A$10,0))</f>
        <v/>
      </c>
      <c r="J173" s="9">
        <f>INDEX('01_Benchmark_Input'!$C$2:$C$10,MATCH(B173,'01_Benchmark_Input'!$A$2:$A$10,0))</f>
        <v/>
      </c>
      <c r="K173" s="10">
        <f>IF(A173="Bear",INDEX('01_Benchmark_Input'!$K$2:$K$10,MATCH(B173,'01_Benchmark_Input'!$A$2:$A$10,0)),IF(A173="Bull",INDEX('01_Benchmark_Input'!$M$2:$M$10,MATCH(B173,'01_Benchmark_Input'!$A$2:$A$10,0)),INDEX('01_Benchmark_Input'!$L$2:$L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9">
        <f>INDEX('01_Benchmark_Input'!$B$2:$B$10,MATCH(B174,'01_Benchmark_Input'!$A$2:$A$10,0))</f>
        <v/>
      </c>
      <c r="J174" s="9">
        <f>INDEX('01_Benchmark_Input'!$C$2:$C$10,MATCH(B174,'01_Benchmark_Input'!$A$2:$A$10,0))</f>
        <v/>
      </c>
      <c r="K174" s="10">
        <f>IF(A174="Bear",INDEX('01_Benchmark_Input'!$K$2:$K$10,MATCH(B174,'01_Benchmark_Input'!$A$2:$A$10,0)),IF(A174="Bull",INDEX('01_Benchmark_Input'!$M$2:$M$10,MATCH(B174,'01_Benchmark_Input'!$A$2:$A$10,0)),INDEX('01_Benchmark_Input'!$L$2:$L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9">
        <f>INDEX('01_Benchmark_Input'!$B$2:$B$10,MATCH(B175,'01_Benchmark_Input'!$A$2:$A$10,0))</f>
        <v/>
      </c>
      <c r="J175" s="9">
        <f>INDEX('01_Benchmark_Input'!$C$2:$C$10,MATCH(B175,'01_Benchmark_Input'!$A$2:$A$10,0))</f>
        <v/>
      </c>
      <c r="K175" s="10">
        <f>IF(A175="Bear",INDEX('01_Benchmark_Input'!$K$2:$K$10,MATCH(B175,'01_Benchmark_Input'!$A$2:$A$10,0)),IF(A175="Bull",INDEX('01_Benchmark_Input'!$M$2:$M$10,MATCH(B175,'01_Benchmark_Input'!$A$2:$A$10,0)),INDEX('01_Benchmark_Input'!$L$2:$L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9">
        <f>INDEX('01_Benchmark_Input'!$B$2:$B$10,MATCH(B176,'01_Benchmark_Input'!$A$2:$A$10,0))</f>
        <v/>
      </c>
      <c r="J176" s="9">
        <f>INDEX('01_Benchmark_Input'!$C$2:$C$10,MATCH(B176,'01_Benchmark_Input'!$A$2:$A$10,0))</f>
        <v/>
      </c>
      <c r="K176" s="10">
        <f>IF(A176="Bear",INDEX('01_Benchmark_Input'!$K$2:$K$10,MATCH(B176,'01_Benchmark_Input'!$A$2:$A$10,0)),IF(A176="Bull",INDEX('01_Benchmark_Input'!$M$2:$M$10,MATCH(B176,'01_Benchmark_Input'!$A$2:$A$10,0)),INDEX('01_Benchmark_Input'!$L$2:$L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9">
        <f>INDEX('01_Benchmark_Input'!$B$2:$B$10,MATCH(B177,'01_Benchmark_Input'!$A$2:$A$10,0))</f>
        <v/>
      </c>
      <c r="J177" s="9">
        <f>INDEX('01_Benchmark_Input'!$C$2:$C$10,MATCH(B177,'01_Benchmark_Input'!$A$2:$A$10,0))</f>
        <v/>
      </c>
      <c r="K177" s="10">
        <f>IF(A177="Bear",INDEX('01_Benchmark_Input'!$K$2:$K$10,MATCH(B177,'01_Benchmark_Input'!$A$2:$A$10,0)),IF(A177="Bull",INDEX('01_Benchmark_Input'!$M$2:$M$10,MATCH(B177,'01_Benchmark_Input'!$A$2:$A$10,0)),INDEX('01_Benchmark_Input'!$L$2:$L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9">
        <f>INDEX('01_Benchmark_Input'!$B$2:$B$10,MATCH(B178,'01_Benchmark_Input'!$A$2:$A$10,0))</f>
        <v/>
      </c>
      <c r="J178" s="9">
        <f>INDEX('01_Benchmark_Input'!$C$2:$C$10,MATCH(B178,'01_Benchmark_Input'!$A$2:$A$10,0))</f>
        <v/>
      </c>
      <c r="K178" s="10">
        <f>IF(A178="Bear",INDEX('01_Benchmark_Input'!$K$2:$K$10,MATCH(B178,'01_Benchmark_Input'!$A$2:$A$10,0)),IF(A178="Bull",INDEX('01_Benchmark_Input'!$M$2:$M$10,MATCH(B178,'01_Benchmark_Input'!$A$2:$A$10,0)),INDEX('01_Benchmark_Input'!$L$2:$L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9">
        <f>INDEX('01_Benchmark_Input'!$B$2:$B$10,MATCH(B179,'01_Benchmark_Input'!$A$2:$A$10,0))</f>
        <v/>
      </c>
      <c r="J179" s="9">
        <f>INDEX('01_Benchmark_Input'!$C$2:$C$10,MATCH(B179,'01_Benchmark_Input'!$A$2:$A$10,0))</f>
        <v/>
      </c>
      <c r="K179" s="10">
        <f>IF(A179="Bear",INDEX('01_Benchmark_Input'!$K$2:$K$10,MATCH(B179,'01_Benchmark_Input'!$A$2:$A$10,0)),IF(A179="Bull",INDEX('01_Benchmark_Input'!$M$2:$M$10,MATCH(B179,'01_Benchmark_Input'!$A$2:$A$10,0)),INDEX('01_Benchmark_Input'!$L$2:$L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9">
        <f>INDEX('01_Benchmark_Input'!$B$2:$B$10,MATCH(B180,'01_Benchmark_Input'!$A$2:$A$10,0))</f>
        <v/>
      </c>
      <c r="J180" s="9">
        <f>INDEX('01_Benchmark_Input'!$C$2:$C$10,MATCH(B180,'01_Benchmark_Input'!$A$2:$A$10,0))</f>
        <v/>
      </c>
      <c r="K180" s="10">
        <f>IF(A180="Bear",INDEX('01_Benchmark_Input'!$K$2:$K$10,MATCH(B180,'01_Benchmark_Input'!$A$2:$A$10,0)),IF(A180="Bull",INDEX('01_Benchmark_Input'!$M$2:$M$10,MATCH(B180,'01_Benchmark_Input'!$A$2:$A$10,0)),INDEX('01_Benchmark_Input'!$L$2:$L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9">
        <f>INDEX('01_Benchmark_Input'!$B$2:$B$10,MATCH(B181,'01_Benchmark_Input'!$A$2:$A$10,0))</f>
        <v/>
      </c>
      <c r="J181" s="9">
        <f>INDEX('01_Benchmark_Input'!$C$2:$C$10,MATCH(B181,'01_Benchmark_Input'!$A$2:$A$10,0))</f>
        <v/>
      </c>
      <c r="K181" s="10">
        <f>IF(A181="Bear",INDEX('01_Benchmark_Input'!$K$2:$K$10,MATCH(B181,'01_Benchmark_Input'!$A$2:$A$10,0)),IF(A181="Bull",INDEX('01_Benchmark_Input'!$M$2:$M$10,MATCH(B181,'01_Benchmark_Input'!$A$2:$A$10,0)),INDEX('01_Benchmark_Input'!$L$2:$L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 t="n">
        <v>0.495</v>
      </c>
      <c r="E2" s="6" t="n">
        <v>0.36</v>
      </c>
      <c r="F2" s="6" t="n">
        <v>0.045</v>
      </c>
      <c r="G2" s="6" t="n">
        <v>0.1</v>
      </c>
      <c r="H2" s="10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 t="n">
        <v>0.355</v>
      </c>
      <c r="E3" s="6" t="n">
        <v>0.315</v>
      </c>
      <c r="F3" s="6" t="n">
        <v>0.142</v>
      </c>
      <c r="G3" s="6" t="n">
        <v>0.188</v>
      </c>
      <c r="H3" s="10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 t="n">
        <v>0.236</v>
      </c>
      <c r="E4" s="6" t="n">
        <v>0.272</v>
      </c>
      <c r="F4" s="6" t="n">
        <v>0.217</v>
      </c>
      <c r="G4" s="6" t="n">
        <v>0.275</v>
      </c>
      <c r="H4" s="10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 t="n">
        <v>0.135</v>
      </c>
      <c r="E5" s="6" t="n">
        <v>0.231</v>
      </c>
      <c r="F5" s="6" t="n">
        <v>0.272</v>
      </c>
      <c r="G5" s="6" t="n">
        <v>0.362</v>
      </c>
      <c r="H5" s="10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 t="n">
        <v>0.055</v>
      </c>
      <c r="E6" s="6" t="n">
        <v>0.193</v>
      </c>
      <c r="F6" s="6" t="n">
        <v>0.302</v>
      </c>
      <c r="G6" s="6" t="n">
        <v>0.45</v>
      </c>
      <c r="H6" s="10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 t="n">
        <v>0.11</v>
      </c>
      <c r="E7" s="6" t="n">
        <v>0.08</v>
      </c>
      <c r="F7" s="6" t="n">
        <v>0.01</v>
      </c>
      <c r="G7" s="6" t="n">
        <v>0.8</v>
      </c>
      <c r="H7" s="10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 t="n">
        <v>0.077</v>
      </c>
      <c r="E8" s="6" t="n">
        <v>0.068</v>
      </c>
      <c r="F8" s="6" t="n">
        <v>0.03</v>
      </c>
      <c r="G8" s="6" t="n">
        <v>0.825</v>
      </c>
      <c r="H8" s="10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 t="n">
        <v>0.049</v>
      </c>
      <c r="E9" s="6" t="n">
        <v>0.056</v>
      </c>
      <c r="F9" s="6" t="n">
        <v>0.045</v>
      </c>
      <c r="G9" s="6" t="n">
        <v>0.85</v>
      </c>
      <c r="H9" s="10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 t="n">
        <v>0.027</v>
      </c>
      <c r="E10" s="6" t="n">
        <v>0.045</v>
      </c>
      <c r="F10" s="6" t="n">
        <v>0.053</v>
      </c>
      <c r="G10" s="6" t="n">
        <v>0.875</v>
      </c>
      <c r="H10" s="10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 t="n">
        <v>0.01</v>
      </c>
      <c r="E11" s="6" t="n">
        <v>0.035</v>
      </c>
      <c r="F11" s="6" t="n">
        <v>0.055</v>
      </c>
      <c r="G11" s="6" t="n">
        <v>0.9</v>
      </c>
      <c r="H11" s="10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 t="n">
        <v>0.495</v>
      </c>
      <c r="E12" s="6" t="n">
        <v>0.36</v>
      </c>
      <c r="F12" s="6" t="n">
        <v>0.045</v>
      </c>
      <c r="G12" s="6" t="n">
        <v>0.1</v>
      </c>
      <c r="H12" s="10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 t="n">
        <v>0.355</v>
      </c>
      <c r="E13" s="6" t="n">
        <v>0.315</v>
      </c>
      <c r="F13" s="6" t="n">
        <v>0.142</v>
      </c>
      <c r="G13" s="6" t="n">
        <v>0.188</v>
      </c>
      <c r="H13" s="10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 t="n">
        <v>0.236</v>
      </c>
      <c r="E14" s="6" t="n">
        <v>0.272</v>
      </c>
      <c r="F14" s="6" t="n">
        <v>0.217</v>
      </c>
      <c r="G14" s="6" t="n">
        <v>0.275</v>
      </c>
      <c r="H14" s="10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 t="n">
        <v>0.135</v>
      </c>
      <c r="E15" s="6" t="n">
        <v>0.231</v>
      </c>
      <c r="F15" s="6" t="n">
        <v>0.272</v>
      </c>
      <c r="G15" s="6" t="n">
        <v>0.362</v>
      </c>
      <c r="H15" s="10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 t="n">
        <v>0.055</v>
      </c>
      <c r="E16" s="6" t="n">
        <v>0.193</v>
      </c>
      <c r="F16" s="6" t="n">
        <v>0.302</v>
      </c>
      <c r="G16" s="6" t="n">
        <v>0.45</v>
      </c>
      <c r="H16" s="10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 t="n">
        <v>0.55</v>
      </c>
      <c r="E17" s="6" t="n">
        <v>0.4</v>
      </c>
      <c r="F17" s="6" t="n">
        <v>0.05</v>
      </c>
      <c r="G17" s="6" t="n">
        <v>0</v>
      </c>
      <c r="H17" s="10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 t="n">
        <v>0.438</v>
      </c>
      <c r="E18" s="6" t="n">
        <v>0.388</v>
      </c>
      <c r="F18" s="6" t="n">
        <v>0.174</v>
      </c>
      <c r="G18" s="6" t="n">
        <v>0</v>
      </c>
      <c r="H18" s="10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 t="n">
        <v>0.325</v>
      </c>
      <c r="E19" s="6" t="n">
        <v>0.375</v>
      </c>
      <c r="F19" s="6" t="n">
        <v>0.3</v>
      </c>
      <c r="G19" s="6" t="n">
        <v>0</v>
      </c>
      <c r="H19" s="10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 t="n">
        <v>0.213</v>
      </c>
      <c r="E20" s="6" t="n">
        <v>0.362</v>
      </c>
      <c r="F20" s="6" t="n">
        <v>0.425</v>
      </c>
      <c r="G20" s="6" t="n">
        <v>0</v>
      </c>
      <c r="H20" s="10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 t="n">
        <v>0.1</v>
      </c>
      <c r="E21" s="6" t="n">
        <v>0.35</v>
      </c>
      <c r="F21" s="6" t="n">
        <v>0.55</v>
      </c>
      <c r="G21" s="6" t="n">
        <v>0</v>
      </c>
      <c r="H21" s="10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 t="n">
        <v>0.55</v>
      </c>
      <c r="E22" s="6" t="n">
        <v>0.4</v>
      </c>
      <c r="F22" s="6" t="n">
        <v>0.05</v>
      </c>
      <c r="G22" s="6" t="n">
        <v>0</v>
      </c>
      <c r="H22" s="10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 t="n">
        <v>0.438</v>
      </c>
      <c r="E23" s="6" t="n">
        <v>0.388</v>
      </c>
      <c r="F23" s="6" t="n">
        <v>0.174</v>
      </c>
      <c r="G23" s="6" t="n">
        <v>0</v>
      </c>
      <c r="H23" s="10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 t="n">
        <v>0.325</v>
      </c>
      <c r="E24" s="6" t="n">
        <v>0.375</v>
      </c>
      <c r="F24" s="6" t="n">
        <v>0.3</v>
      </c>
      <c r="G24" s="6" t="n">
        <v>0</v>
      </c>
      <c r="H24" s="10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 t="n">
        <v>0.213</v>
      </c>
      <c r="E25" s="6" t="n">
        <v>0.362</v>
      </c>
      <c r="F25" s="6" t="n">
        <v>0.425</v>
      </c>
      <c r="G25" s="6" t="n">
        <v>0</v>
      </c>
      <c r="H25" s="10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 t="n">
        <v>0.1</v>
      </c>
      <c r="E26" s="6" t="n">
        <v>0.35</v>
      </c>
      <c r="F26" s="6" t="n">
        <v>0.55</v>
      </c>
      <c r="G26" s="6" t="n">
        <v>0</v>
      </c>
      <c r="H26" s="10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 t="n">
        <v>0.193</v>
      </c>
      <c r="E27" s="6" t="n">
        <v>0.14</v>
      </c>
      <c r="F27" s="6" t="n">
        <v>0.017</v>
      </c>
      <c r="G27" s="6" t="n">
        <v>0.65</v>
      </c>
      <c r="H27" s="10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 t="n">
        <v>0.131</v>
      </c>
      <c r="E28" s="6" t="n">
        <v>0.116</v>
      </c>
      <c r="F28" s="6" t="n">
        <v>0.053</v>
      </c>
      <c r="G28" s="6" t="n">
        <v>0.7</v>
      </c>
      <c r="H28" s="10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 t="n">
        <v>0.081</v>
      </c>
      <c r="E29" s="6" t="n">
        <v>0.094</v>
      </c>
      <c r="F29" s="6" t="n">
        <v>0.075</v>
      </c>
      <c r="G29" s="6" t="n">
        <v>0.75</v>
      </c>
      <c r="H29" s="10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 t="n">
        <v>0.043</v>
      </c>
      <c r="E30" s="6" t="n">
        <v>0.07199999999999999</v>
      </c>
      <c r="F30" s="6" t="n">
        <v>0.08500000000000001</v>
      </c>
      <c r="G30" s="6" t="n">
        <v>0.8</v>
      </c>
      <c r="H30" s="10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 t="n">
        <v>0.015</v>
      </c>
      <c r="E31" s="6" t="n">
        <v>0.052</v>
      </c>
      <c r="F31" s="6" t="n">
        <v>0.083</v>
      </c>
      <c r="G31" s="6" t="n">
        <v>0.85</v>
      </c>
      <c r="H31" s="10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 t="n">
        <v>0.55</v>
      </c>
      <c r="E32" s="6" t="n">
        <v>0.4</v>
      </c>
      <c r="F32" s="6" t="n">
        <v>0.05</v>
      </c>
      <c r="G32" s="6" t="n">
        <v>0</v>
      </c>
      <c r="H32" s="10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 t="n">
        <v>0.438</v>
      </c>
      <c r="E33" s="6" t="n">
        <v>0.388</v>
      </c>
      <c r="F33" s="6" t="n">
        <v>0.174</v>
      </c>
      <c r="G33" s="6" t="n">
        <v>0</v>
      </c>
      <c r="H33" s="10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 t="n">
        <v>0.325</v>
      </c>
      <c r="E34" s="6" t="n">
        <v>0.375</v>
      </c>
      <c r="F34" s="6" t="n">
        <v>0.3</v>
      </c>
      <c r="G34" s="6" t="n">
        <v>0</v>
      </c>
      <c r="H34" s="10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 t="n">
        <v>0.213</v>
      </c>
      <c r="E35" s="6" t="n">
        <v>0.362</v>
      </c>
      <c r="F35" s="6" t="n">
        <v>0.425</v>
      </c>
      <c r="G35" s="6" t="n">
        <v>0</v>
      </c>
      <c r="H35" s="10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 t="n">
        <v>0.1</v>
      </c>
      <c r="E36" s="6" t="n">
        <v>0.35</v>
      </c>
      <c r="F36" s="6" t="n">
        <v>0.55</v>
      </c>
      <c r="G36" s="6" t="n">
        <v>0</v>
      </c>
      <c r="H36" s="10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 t="n">
        <v>0.55</v>
      </c>
      <c r="E37" s="6" t="n">
        <v>0.4</v>
      </c>
      <c r="F37" s="6" t="n">
        <v>0.05</v>
      </c>
      <c r="G37" s="6" t="n">
        <v>0</v>
      </c>
      <c r="H37" s="10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 t="n">
        <v>0.438</v>
      </c>
      <c r="E38" s="6" t="n">
        <v>0.388</v>
      </c>
      <c r="F38" s="6" t="n">
        <v>0.174</v>
      </c>
      <c r="G38" s="6" t="n">
        <v>0</v>
      </c>
      <c r="H38" s="10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 t="n">
        <v>0.325</v>
      </c>
      <c r="E39" s="6" t="n">
        <v>0.375</v>
      </c>
      <c r="F39" s="6" t="n">
        <v>0.3</v>
      </c>
      <c r="G39" s="6" t="n">
        <v>0</v>
      </c>
      <c r="H39" s="10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 t="n">
        <v>0.213</v>
      </c>
      <c r="E40" s="6" t="n">
        <v>0.362</v>
      </c>
      <c r="F40" s="6" t="n">
        <v>0.425</v>
      </c>
      <c r="G40" s="6" t="n">
        <v>0</v>
      </c>
      <c r="H40" s="10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 t="n">
        <v>0.1</v>
      </c>
      <c r="E41" s="6" t="n">
        <v>0.35</v>
      </c>
      <c r="F41" s="6" t="n">
        <v>0.55</v>
      </c>
      <c r="G41" s="6" t="n">
        <v>0</v>
      </c>
      <c r="H41" s="10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 t="n">
        <v>0.55</v>
      </c>
      <c r="E42" s="6" t="n">
        <v>0.4</v>
      </c>
      <c r="F42" s="6" t="n">
        <v>0.05</v>
      </c>
      <c r="G42" s="6" t="n">
        <v>0</v>
      </c>
      <c r="H42" s="10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 t="n">
        <v>0.438</v>
      </c>
      <c r="E43" s="6" t="n">
        <v>0.388</v>
      </c>
      <c r="F43" s="6" t="n">
        <v>0.174</v>
      </c>
      <c r="G43" s="6" t="n">
        <v>0</v>
      </c>
      <c r="H43" s="10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 t="n">
        <v>0.325</v>
      </c>
      <c r="E44" s="6" t="n">
        <v>0.375</v>
      </c>
      <c r="F44" s="6" t="n">
        <v>0.3</v>
      </c>
      <c r="G44" s="6" t="n">
        <v>0</v>
      </c>
      <c r="H44" s="10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 t="n">
        <v>0.213</v>
      </c>
      <c r="E45" s="6" t="n">
        <v>0.362</v>
      </c>
      <c r="F45" s="6" t="n">
        <v>0.425</v>
      </c>
      <c r="G45" s="6" t="n">
        <v>0</v>
      </c>
      <c r="H45" s="10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 t="n">
        <v>0.1</v>
      </c>
      <c r="E46" s="6" t="n">
        <v>0.35</v>
      </c>
      <c r="F46" s="6" t="n">
        <v>0.55</v>
      </c>
      <c r="G46" s="6" t="n">
        <v>0</v>
      </c>
      <c r="H46" s="10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 t="n">
        <v>0.495</v>
      </c>
      <c r="E47" s="6" t="n">
        <v>0.36</v>
      </c>
      <c r="F47" s="6" t="n">
        <v>0.045</v>
      </c>
      <c r="G47" s="6" t="n">
        <v>0.1</v>
      </c>
      <c r="H47" s="10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 t="n">
        <v>0.355</v>
      </c>
      <c r="E48" s="6" t="n">
        <v>0.315</v>
      </c>
      <c r="F48" s="6" t="n">
        <v>0.142</v>
      </c>
      <c r="G48" s="6" t="n">
        <v>0.188</v>
      </c>
      <c r="H48" s="10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 t="n">
        <v>0.236</v>
      </c>
      <c r="E49" s="6" t="n">
        <v>0.272</v>
      </c>
      <c r="F49" s="6" t="n">
        <v>0.217</v>
      </c>
      <c r="G49" s="6" t="n">
        <v>0.275</v>
      </c>
      <c r="H49" s="10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 t="n">
        <v>0.135</v>
      </c>
      <c r="E50" s="6" t="n">
        <v>0.231</v>
      </c>
      <c r="F50" s="6" t="n">
        <v>0.272</v>
      </c>
      <c r="G50" s="6" t="n">
        <v>0.362</v>
      </c>
      <c r="H50" s="10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 t="n">
        <v>0.055</v>
      </c>
      <c r="E51" s="6" t="n">
        <v>0.193</v>
      </c>
      <c r="F51" s="6" t="n">
        <v>0.302</v>
      </c>
      <c r="G51" s="6" t="n">
        <v>0.45</v>
      </c>
      <c r="H51" s="10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 t="n">
        <v>0.11</v>
      </c>
      <c r="E52" s="6" t="n">
        <v>0.08</v>
      </c>
      <c r="F52" s="6" t="n">
        <v>0.01</v>
      </c>
      <c r="G52" s="6" t="n">
        <v>0.8</v>
      </c>
      <c r="H52" s="10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 t="n">
        <v>0.077</v>
      </c>
      <c r="E53" s="6" t="n">
        <v>0.068</v>
      </c>
      <c r="F53" s="6" t="n">
        <v>0.03</v>
      </c>
      <c r="G53" s="6" t="n">
        <v>0.825</v>
      </c>
      <c r="H53" s="10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 t="n">
        <v>0.049</v>
      </c>
      <c r="E54" s="6" t="n">
        <v>0.056</v>
      </c>
      <c r="F54" s="6" t="n">
        <v>0.045</v>
      </c>
      <c r="G54" s="6" t="n">
        <v>0.85</v>
      </c>
      <c r="H54" s="10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 t="n">
        <v>0.027</v>
      </c>
      <c r="E55" s="6" t="n">
        <v>0.045</v>
      </c>
      <c r="F55" s="6" t="n">
        <v>0.053</v>
      </c>
      <c r="G55" s="6" t="n">
        <v>0.875</v>
      </c>
      <c r="H55" s="10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 t="n">
        <v>0.01</v>
      </c>
      <c r="E56" s="6" t="n">
        <v>0.035</v>
      </c>
      <c r="F56" s="6" t="n">
        <v>0.055</v>
      </c>
      <c r="G56" s="6" t="n">
        <v>0.9</v>
      </c>
      <c r="H56" s="10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 t="n">
        <v>0.495</v>
      </c>
      <c r="E57" s="6" t="n">
        <v>0.36</v>
      </c>
      <c r="F57" s="6" t="n">
        <v>0.045</v>
      </c>
      <c r="G57" s="6" t="n">
        <v>0.1</v>
      </c>
      <c r="H57" s="10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 t="n">
        <v>0.355</v>
      </c>
      <c r="E58" s="6" t="n">
        <v>0.315</v>
      </c>
      <c r="F58" s="6" t="n">
        <v>0.142</v>
      </c>
      <c r="G58" s="6" t="n">
        <v>0.188</v>
      </c>
      <c r="H58" s="10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 t="n">
        <v>0.236</v>
      </c>
      <c r="E59" s="6" t="n">
        <v>0.272</v>
      </c>
      <c r="F59" s="6" t="n">
        <v>0.217</v>
      </c>
      <c r="G59" s="6" t="n">
        <v>0.275</v>
      </c>
      <c r="H59" s="10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 t="n">
        <v>0.135</v>
      </c>
      <c r="E60" s="6" t="n">
        <v>0.231</v>
      </c>
      <c r="F60" s="6" t="n">
        <v>0.272</v>
      </c>
      <c r="G60" s="6" t="n">
        <v>0.362</v>
      </c>
      <c r="H60" s="10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 t="n">
        <v>0.055</v>
      </c>
      <c r="E61" s="6" t="n">
        <v>0.193</v>
      </c>
      <c r="F61" s="6" t="n">
        <v>0.302</v>
      </c>
      <c r="G61" s="6" t="n">
        <v>0.45</v>
      </c>
      <c r="H61" s="10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 t="n">
        <v>0.55</v>
      </c>
      <c r="E62" s="6" t="n">
        <v>0.4</v>
      </c>
      <c r="F62" s="6" t="n">
        <v>0.05</v>
      </c>
      <c r="G62" s="6" t="n">
        <v>0</v>
      </c>
      <c r="H62" s="10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 t="n">
        <v>0.438</v>
      </c>
      <c r="E63" s="6" t="n">
        <v>0.388</v>
      </c>
      <c r="F63" s="6" t="n">
        <v>0.174</v>
      </c>
      <c r="G63" s="6" t="n">
        <v>0</v>
      </c>
      <c r="H63" s="10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 t="n">
        <v>0.325</v>
      </c>
      <c r="E64" s="6" t="n">
        <v>0.375</v>
      </c>
      <c r="F64" s="6" t="n">
        <v>0.3</v>
      </c>
      <c r="G64" s="6" t="n">
        <v>0</v>
      </c>
      <c r="H64" s="10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 t="n">
        <v>0.213</v>
      </c>
      <c r="E65" s="6" t="n">
        <v>0.362</v>
      </c>
      <c r="F65" s="6" t="n">
        <v>0.425</v>
      </c>
      <c r="G65" s="6" t="n">
        <v>0</v>
      </c>
      <c r="H65" s="10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 t="n">
        <v>0.1</v>
      </c>
      <c r="E66" s="6" t="n">
        <v>0.35</v>
      </c>
      <c r="F66" s="6" t="n">
        <v>0.55</v>
      </c>
      <c r="G66" s="6" t="n">
        <v>0</v>
      </c>
      <c r="H66" s="10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 t="n">
        <v>0.55</v>
      </c>
      <c r="E67" s="6" t="n">
        <v>0.4</v>
      </c>
      <c r="F67" s="6" t="n">
        <v>0.05</v>
      </c>
      <c r="G67" s="6" t="n">
        <v>0</v>
      </c>
      <c r="H67" s="10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 t="n">
        <v>0.438</v>
      </c>
      <c r="E68" s="6" t="n">
        <v>0.388</v>
      </c>
      <c r="F68" s="6" t="n">
        <v>0.174</v>
      </c>
      <c r="G68" s="6" t="n">
        <v>0</v>
      </c>
      <c r="H68" s="10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 t="n">
        <v>0.325</v>
      </c>
      <c r="E69" s="6" t="n">
        <v>0.375</v>
      </c>
      <c r="F69" s="6" t="n">
        <v>0.3</v>
      </c>
      <c r="G69" s="6" t="n">
        <v>0</v>
      </c>
      <c r="H69" s="10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 t="n">
        <v>0.213</v>
      </c>
      <c r="E70" s="6" t="n">
        <v>0.362</v>
      </c>
      <c r="F70" s="6" t="n">
        <v>0.425</v>
      </c>
      <c r="G70" s="6" t="n">
        <v>0</v>
      </c>
      <c r="H70" s="10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 t="n">
        <v>0.1</v>
      </c>
      <c r="E71" s="6" t="n">
        <v>0.35</v>
      </c>
      <c r="F71" s="6" t="n">
        <v>0.55</v>
      </c>
      <c r="G71" s="6" t="n">
        <v>0</v>
      </c>
      <c r="H71" s="10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 t="n">
        <v>0.193</v>
      </c>
      <c r="E72" s="6" t="n">
        <v>0.14</v>
      </c>
      <c r="F72" s="6" t="n">
        <v>0.017</v>
      </c>
      <c r="G72" s="6" t="n">
        <v>0.65</v>
      </c>
      <c r="H72" s="10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 t="n">
        <v>0.131</v>
      </c>
      <c r="E73" s="6" t="n">
        <v>0.116</v>
      </c>
      <c r="F73" s="6" t="n">
        <v>0.053</v>
      </c>
      <c r="G73" s="6" t="n">
        <v>0.7</v>
      </c>
      <c r="H73" s="10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 t="n">
        <v>0.081</v>
      </c>
      <c r="E74" s="6" t="n">
        <v>0.094</v>
      </c>
      <c r="F74" s="6" t="n">
        <v>0.075</v>
      </c>
      <c r="G74" s="6" t="n">
        <v>0.75</v>
      </c>
      <c r="H74" s="10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 t="n">
        <v>0.043</v>
      </c>
      <c r="E75" s="6" t="n">
        <v>0.07199999999999999</v>
      </c>
      <c r="F75" s="6" t="n">
        <v>0.08500000000000001</v>
      </c>
      <c r="G75" s="6" t="n">
        <v>0.8</v>
      </c>
      <c r="H75" s="10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 t="n">
        <v>0.015</v>
      </c>
      <c r="E76" s="6" t="n">
        <v>0.052</v>
      </c>
      <c r="F76" s="6" t="n">
        <v>0.083</v>
      </c>
      <c r="G76" s="6" t="n">
        <v>0.85</v>
      </c>
      <c r="H76" s="10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 t="n">
        <v>0.55</v>
      </c>
      <c r="E77" s="6" t="n">
        <v>0.4</v>
      </c>
      <c r="F77" s="6" t="n">
        <v>0.05</v>
      </c>
      <c r="G77" s="6" t="n">
        <v>0</v>
      </c>
      <c r="H77" s="10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 t="n">
        <v>0.438</v>
      </c>
      <c r="E78" s="6" t="n">
        <v>0.388</v>
      </c>
      <c r="F78" s="6" t="n">
        <v>0.174</v>
      </c>
      <c r="G78" s="6" t="n">
        <v>0</v>
      </c>
      <c r="H78" s="10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 t="n">
        <v>0.325</v>
      </c>
      <c r="E79" s="6" t="n">
        <v>0.375</v>
      </c>
      <c r="F79" s="6" t="n">
        <v>0.3</v>
      </c>
      <c r="G79" s="6" t="n">
        <v>0</v>
      </c>
      <c r="H79" s="10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 t="n">
        <v>0.213</v>
      </c>
      <c r="E80" s="6" t="n">
        <v>0.362</v>
      </c>
      <c r="F80" s="6" t="n">
        <v>0.425</v>
      </c>
      <c r="G80" s="6" t="n">
        <v>0</v>
      </c>
      <c r="H80" s="10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 t="n">
        <v>0.1</v>
      </c>
      <c r="E81" s="6" t="n">
        <v>0.35</v>
      </c>
      <c r="F81" s="6" t="n">
        <v>0.55</v>
      </c>
      <c r="G81" s="6" t="n">
        <v>0</v>
      </c>
      <c r="H81" s="10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 t="n">
        <v>0.55</v>
      </c>
      <c r="E82" s="6" t="n">
        <v>0.4</v>
      </c>
      <c r="F82" s="6" t="n">
        <v>0.05</v>
      </c>
      <c r="G82" s="6" t="n">
        <v>0</v>
      </c>
      <c r="H82" s="10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 t="n">
        <v>0.438</v>
      </c>
      <c r="E83" s="6" t="n">
        <v>0.388</v>
      </c>
      <c r="F83" s="6" t="n">
        <v>0.174</v>
      </c>
      <c r="G83" s="6" t="n">
        <v>0</v>
      </c>
      <c r="H83" s="10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 t="n">
        <v>0.325</v>
      </c>
      <c r="E84" s="6" t="n">
        <v>0.375</v>
      </c>
      <c r="F84" s="6" t="n">
        <v>0.3</v>
      </c>
      <c r="G84" s="6" t="n">
        <v>0</v>
      </c>
      <c r="H84" s="10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 t="n">
        <v>0.213</v>
      </c>
      <c r="E85" s="6" t="n">
        <v>0.362</v>
      </c>
      <c r="F85" s="6" t="n">
        <v>0.425</v>
      </c>
      <c r="G85" s="6" t="n">
        <v>0</v>
      </c>
      <c r="H85" s="10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 t="n">
        <v>0.1</v>
      </c>
      <c r="E86" s="6" t="n">
        <v>0.35</v>
      </c>
      <c r="F86" s="6" t="n">
        <v>0.55</v>
      </c>
      <c r="G86" s="6" t="n">
        <v>0</v>
      </c>
      <c r="H86" s="10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 t="n">
        <v>0.55</v>
      </c>
      <c r="E87" s="6" t="n">
        <v>0.4</v>
      </c>
      <c r="F87" s="6" t="n">
        <v>0.05</v>
      </c>
      <c r="G87" s="6" t="n">
        <v>0</v>
      </c>
      <c r="H87" s="10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 t="n">
        <v>0.438</v>
      </c>
      <c r="E88" s="6" t="n">
        <v>0.388</v>
      </c>
      <c r="F88" s="6" t="n">
        <v>0.174</v>
      </c>
      <c r="G88" s="6" t="n">
        <v>0</v>
      </c>
      <c r="H88" s="10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 t="n">
        <v>0.325</v>
      </c>
      <c r="E89" s="6" t="n">
        <v>0.375</v>
      </c>
      <c r="F89" s="6" t="n">
        <v>0.3</v>
      </c>
      <c r="G89" s="6" t="n">
        <v>0</v>
      </c>
      <c r="H89" s="10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 t="n">
        <v>0.213</v>
      </c>
      <c r="E90" s="6" t="n">
        <v>0.362</v>
      </c>
      <c r="F90" s="6" t="n">
        <v>0.425</v>
      </c>
      <c r="G90" s="6" t="n">
        <v>0</v>
      </c>
      <c r="H90" s="10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 t="n">
        <v>0.1</v>
      </c>
      <c r="E91" s="6" t="n">
        <v>0.35</v>
      </c>
      <c r="F91" s="6" t="n">
        <v>0.55</v>
      </c>
      <c r="G91" s="6" t="n">
        <v>0</v>
      </c>
      <c r="H91" s="10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 t="n">
        <v>0.495</v>
      </c>
      <c r="E92" s="6" t="n">
        <v>0.36</v>
      </c>
      <c r="F92" s="6" t="n">
        <v>0.045</v>
      </c>
      <c r="G92" s="6" t="n">
        <v>0.1</v>
      </c>
      <c r="H92" s="10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 t="n">
        <v>0.355</v>
      </c>
      <c r="E93" s="6" t="n">
        <v>0.315</v>
      </c>
      <c r="F93" s="6" t="n">
        <v>0.142</v>
      </c>
      <c r="G93" s="6" t="n">
        <v>0.188</v>
      </c>
      <c r="H93" s="10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 t="n">
        <v>0.236</v>
      </c>
      <c r="E94" s="6" t="n">
        <v>0.272</v>
      </c>
      <c r="F94" s="6" t="n">
        <v>0.217</v>
      </c>
      <c r="G94" s="6" t="n">
        <v>0.275</v>
      </c>
      <c r="H94" s="10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 t="n">
        <v>0.135</v>
      </c>
      <c r="E95" s="6" t="n">
        <v>0.231</v>
      </c>
      <c r="F95" s="6" t="n">
        <v>0.272</v>
      </c>
      <c r="G95" s="6" t="n">
        <v>0.362</v>
      </c>
      <c r="H95" s="10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 t="n">
        <v>0.055</v>
      </c>
      <c r="E96" s="6" t="n">
        <v>0.193</v>
      </c>
      <c r="F96" s="6" t="n">
        <v>0.302</v>
      </c>
      <c r="G96" s="6" t="n">
        <v>0.45</v>
      </c>
      <c r="H96" s="10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 t="n">
        <v>0.11</v>
      </c>
      <c r="E97" s="6" t="n">
        <v>0.08</v>
      </c>
      <c r="F97" s="6" t="n">
        <v>0.01</v>
      </c>
      <c r="G97" s="6" t="n">
        <v>0.8</v>
      </c>
      <c r="H97" s="10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 t="n">
        <v>0.077</v>
      </c>
      <c r="E98" s="6" t="n">
        <v>0.068</v>
      </c>
      <c r="F98" s="6" t="n">
        <v>0.03</v>
      </c>
      <c r="G98" s="6" t="n">
        <v>0.825</v>
      </c>
      <c r="H98" s="10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 t="n">
        <v>0.049</v>
      </c>
      <c r="E99" s="6" t="n">
        <v>0.056</v>
      </c>
      <c r="F99" s="6" t="n">
        <v>0.045</v>
      </c>
      <c r="G99" s="6" t="n">
        <v>0.85</v>
      </c>
      <c r="H99" s="10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 t="n">
        <v>0.027</v>
      </c>
      <c r="E100" s="6" t="n">
        <v>0.045</v>
      </c>
      <c r="F100" s="6" t="n">
        <v>0.053</v>
      </c>
      <c r="G100" s="6" t="n">
        <v>0.875</v>
      </c>
      <c r="H100" s="10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 t="n">
        <v>0.01</v>
      </c>
      <c r="E101" s="6" t="n">
        <v>0.035</v>
      </c>
      <c r="F101" s="6" t="n">
        <v>0.055</v>
      </c>
      <c r="G101" s="6" t="n">
        <v>0.9</v>
      </c>
      <c r="H101" s="10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 t="n">
        <v>0.495</v>
      </c>
      <c r="E102" s="6" t="n">
        <v>0.36</v>
      </c>
      <c r="F102" s="6" t="n">
        <v>0.045</v>
      </c>
      <c r="G102" s="6" t="n">
        <v>0.1</v>
      </c>
      <c r="H102" s="10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 t="n">
        <v>0.355</v>
      </c>
      <c r="E103" s="6" t="n">
        <v>0.315</v>
      </c>
      <c r="F103" s="6" t="n">
        <v>0.142</v>
      </c>
      <c r="G103" s="6" t="n">
        <v>0.188</v>
      </c>
      <c r="H103" s="10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 t="n">
        <v>0.236</v>
      </c>
      <c r="E104" s="6" t="n">
        <v>0.272</v>
      </c>
      <c r="F104" s="6" t="n">
        <v>0.217</v>
      </c>
      <c r="G104" s="6" t="n">
        <v>0.275</v>
      </c>
      <c r="H104" s="10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 t="n">
        <v>0.135</v>
      </c>
      <c r="E105" s="6" t="n">
        <v>0.231</v>
      </c>
      <c r="F105" s="6" t="n">
        <v>0.272</v>
      </c>
      <c r="G105" s="6" t="n">
        <v>0.362</v>
      </c>
      <c r="H105" s="10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 t="n">
        <v>0.055</v>
      </c>
      <c r="E106" s="6" t="n">
        <v>0.193</v>
      </c>
      <c r="F106" s="6" t="n">
        <v>0.302</v>
      </c>
      <c r="G106" s="6" t="n">
        <v>0.45</v>
      </c>
      <c r="H106" s="10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 t="n">
        <v>0.55</v>
      </c>
      <c r="E107" s="6" t="n">
        <v>0.4</v>
      </c>
      <c r="F107" s="6" t="n">
        <v>0.05</v>
      </c>
      <c r="G107" s="6" t="n">
        <v>0</v>
      </c>
      <c r="H107" s="10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 t="n">
        <v>0.438</v>
      </c>
      <c r="E108" s="6" t="n">
        <v>0.388</v>
      </c>
      <c r="F108" s="6" t="n">
        <v>0.174</v>
      </c>
      <c r="G108" s="6" t="n">
        <v>0</v>
      </c>
      <c r="H108" s="10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 t="n">
        <v>0.325</v>
      </c>
      <c r="E109" s="6" t="n">
        <v>0.375</v>
      </c>
      <c r="F109" s="6" t="n">
        <v>0.3</v>
      </c>
      <c r="G109" s="6" t="n">
        <v>0</v>
      </c>
      <c r="H109" s="10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 t="n">
        <v>0.213</v>
      </c>
      <c r="E110" s="6" t="n">
        <v>0.362</v>
      </c>
      <c r="F110" s="6" t="n">
        <v>0.425</v>
      </c>
      <c r="G110" s="6" t="n">
        <v>0</v>
      </c>
      <c r="H110" s="10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 t="n">
        <v>0.1</v>
      </c>
      <c r="E111" s="6" t="n">
        <v>0.35</v>
      </c>
      <c r="F111" s="6" t="n">
        <v>0.55</v>
      </c>
      <c r="G111" s="6" t="n">
        <v>0</v>
      </c>
      <c r="H111" s="10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 t="n">
        <v>0.55</v>
      </c>
      <c r="E112" s="6" t="n">
        <v>0.4</v>
      </c>
      <c r="F112" s="6" t="n">
        <v>0.05</v>
      </c>
      <c r="G112" s="6" t="n">
        <v>0</v>
      </c>
      <c r="H112" s="10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 t="n">
        <v>0.438</v>
      </c>
      <c r="E113" s="6" t="n">
        <v>0.388</v>
      </c>
      <c r="F113" s="6" t="n">
        <v>0.174</v>
      </c>
      <c r="G113" s="6" t="n">
        <v>0</v>
      </c>
      <c r="H113" s="10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 t="n">
        <v>0.325</v>
      </c>
      <c r="E114" s="6" t="n">
        <v>0.375</v>
      </c>
      <c r="F114" s="6" t="n">
        <v>0.3</v>
      </c>
      <c r="G114" s="6" t="n">
        <v>0</v>
      </c>
      <c r="H114" s="10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 t="n">
        <v>0.213</v>
      </c>
      <c r="E115" s="6" t="n">
        <v>0.362</v>
      </c>
      <c r="F115" s="6" t="n">
        <v>0.425</v>
      </c>
      <c r="G115" s="6" t="n">
        <v>0</v>
      </c>
      <c r="H115" s="10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 t="n">
        <v>0.1</v>
      </c>
      <c r="E116" s="6" t="n">
        <v>0.35</v>
      </c>
      <c r="F116" s="6" t="n">
        <v>0.55</v>
      </c>
      <c r="G116" s="6" t="n">
        <v>0</v>
      </c>
      <c r="H116" s="10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 t="n">
        <v>0.193</v>
      </c>
      <c r="E117" s="6" t="n">
        <v>0.14</v>
      </c>
      <c r="F117" s="6" t="n">
        <v>0.017</v>
      </c>
      <c r="G117" s="6" t="n">
        <v>0.65</v>
      </c>
      <c r="H117" s="10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 t="n">
        <v>0.131</v>
      </c>
      <c r="E118" s="6" t="n">
        <v>0.116</v>
      </c>
      <c r="F118" s="6" t="n">
        <v>0.053</v>
      </c>
      <c r="G118" s="6" t="n">
        <v>0.7</v>
      </c>
      <c r="H118" s="10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 t="n">
        <v>0.081</v>
      </c>
      <c r="E119" s="6" t="n">
        <v>0.094</v>
      </c>
      <c r="F119" s="6" t="n">
        <v>0.075</v>
      </c>
      <c r="G119" s="6" t="n">
        <v>0.75</v>
      </c>
      <c r="H119" s="10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 t="n">
        <v>0.043</v>
      </c>
      <c r="E120" s="6" t="n">
        <v>0.07199999999999999</v>
      </c>
      <c r="F120" s="6" t="n">
        <v>0.08500000000000001</v>
      </c>
      <c r="G120" s="6" t="n">
        <v>0.8</v>
      </c>
      <c r="H120" s="10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 t="n">
        <v>0.015</v>
      </c>
      <c r="E121" s="6" t="n">
        <v>0.052</v>
      </c>
      <c r="F121" s="6" t="n">
        <v>0.083</v>
      </c>
      <c r="G121" s="6" t="n">
        <v>0.85</v>
      </c>
      <c r="H121" s="10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 t="n">
        <v>0.55</v>
      </c>
      <c r="E122" s="6" t="n">
        <v>0.4</v>
      </c>
      <c r="F122" s="6" t="n">
        <v>0.05</v>
      </c>
      <c r="G122" s="6" t="n">
        <v>0</v>
      </c>
      <c r="H122" s="10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 t="n">
        <v>0.438</v>
      </c>
      <c r="E123" s="6" t="n">
        <v>0.388</v>
      </c>
      <c r="F123" s="6" t="n">
        <v>0.174</v>
      </c>
      <c r="G123" s="6" t="n">
        <v>0</v>
      </c>
      <c r="H123" s="10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 t="n">
        <v>0.325</v>
      </c>
      <c r="E124" s="6" t="n">
        <v>0.375</v>
      </c>
      <c r="F124" s="6" t="n">
        <v>0.3</v>
      </c>
      <c r="G124" s="6" t="n">
        <v>0</v>
      </c>
      <c r="H124" s="10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 t="n">
        <v>0.213</v>
      </c>
      <c r="E125" s="6" t="n">
        <v>0.362</v>
      </c>
      <c r="F125" s="6" t="n">
        <v>0.425</v>
      </c>
      <c r="G125" s="6" t="n">
        <v>0</v>
      </c>
      <c r="H125" s="10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 t="n">
        <v>0.1</v>
      </c>
      <c r="E126" s="6" t="n">
        <v>0.35</v>
      </c>
      <c r="F126" s="6" t="n">
        <v>0.55</v>
      </c>
      <c r="G126" s="6" t="n">
        <v>0</v>
      </c>
      <c r="H126" s="10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 t="n">
        <v>0.55</v>
      </c>
      <c r="E127" s="6" t="n">
        <v>0.4</v>
      </c>
      <c r="F127" s="6" t="n">
        <v>0.05</v>
      </c>
      <c r="G127" s="6" t="n">
        <v>0</v>
      </c>
      <c r="H127" s="10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 t="n">
        <v>0.438</v>
      </c>
      <c r="E128" s="6" t="n">
        <v>0.388</v>
      </c>
      <c r="F128" s="6" t="n">
        <v>0.174</v>
      </c>
      <c r="G128" s="6" t="n">
        <v>0</v>
      </c>
      <c r="H128" s="10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 t="n">
        <v>0.325</v>
      </c>
      <c r="E129" s="6" t="n">
        <v>0.375</v>
      </c>
      <c r="F129" s="6" t="n">
        <v>0.3</v>
      </c>
      <c r="G129" s="6" t="n">
        <v>0</v>
      </c>
      <c r="H129" s="10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 t="n">
        <v>0.213</v>
      </c>
      <c r="E130" s="6" t="n">
        <v>0.362</v>
      </c>
      <c r="F130" s="6" t="n">
        <v>0.425</v>
      </c>
      <c r="G130" s="6" t="n">
        <v>0</v>
      </c>
      <c r="H130" s="10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 t="n">
        <v>0.1</v>
      </c>
      <c r="E131" s="6" t="n">
        <v>0.35</v>
      </c>
      <c r="F131" s="6" t="n">
        <v>0.55</v>
      </c>
      <c r="G131" s="6" t="n">
        <v>0</v>
      </c>
      <c r="H131" s="10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 t="n">
        <v>0.55</v>
      </c>
      <c r="E132" s="6" t="n">
        <v>0.4</v>
      </c>
      <c r="F132" s="6" t="n">
        <v>0.05</v>
      </c>
      <c r="G132" s="6" t="n">
        <v>0</v>
      </c>
      <c r="H132" s="10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 t="n">
        <v>0.438</v>
      </c>
      <c r="E133" s="6" t="n">
        <v>0.388</v>
      </c>
      <c r="F133" s="6" t="n">
        <v>0.174</v>
      </c>
      <c r="G133" s="6" t="n">
        <v>0</v>
      </c>
      <c r="H133" s="10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 t="n">
        <v>0.325</v>
      </c>
      <c r="E134" s="6" t="n">
        <v>0.375</v>
      </c>
      <c r="F134" s="6" t="n">
        <v>0.3</v>
      </c>
      <c r="G134" s="6" t="n">
        <v>0</v>
      </c>
      <c r="H134" s="10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 t="n">
        <v>0.213</v>
      </c>
      <c r="E135" s="6" t="n">
        <v>0.362</v>
      </c>
      <c r="F135" s="6" t="n">
        <v>0.425</v>
      </c>
      <c r="G135" s="6" t="n">
        <v>0</v>
      </c>
      <c r="H135" s="10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 t="n">
        <v>0.1</v>
      </c>
      <c r="E136" s="6" t="n">
        <v>0.35</v>
      </c>
      <c r="F136" s="6" t="n">
        <v>0.55</v>
      </c>
      <c r="G136" s="6" t="n">
        <v>0</v>
      </c>
      <c r="H136" s="10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 t="n">
        <v>0.495</v>
      </c>
      <c r="E137" s="6" t="n">
        <v>0.36</v>
      </c>
      <c r="F137" s="6" t="n">
        <v>0.045</v>
      </c>
      <c r="G137" s="6" t="n">
        <v>0.1</v>
      </c>
      <c r="H137" s="10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 t="n">
        <v>0.355</v>
      </c>
      <c r="E138" s="6" t="n">
        <v>0.315</v>
      </c>
      <c r="F138" s="6" t="n">
        <v>0.142</v>
      </c>
      <c r="G138" s="6" t="n">
        <v>0.188</v>
      </c>
      <c r="H138" s="10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 t="n">
        <v>0.236</v>
      </c>
      <c r="E139" s="6" t="n">
        <v>0.272</v>
      </c>
      <c r="F139" s="6" t="n">
        <v>0.217</v>
      </c>
      <c r="G139" s="6" t="n">
        <v>0.275</v>
      </c>
      <c r="H139" s="10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 t="n">
        <v>0.135</v>
      </c>
      <c r="E140" s="6" t="n">
        <v>0.231</v>
      </c>
      <c r="F140" s="6" t="n">
        <v>0.272</v>
      </c>
      <c r="G140" s="6" t="n">
        <v>0.362</v>
      </c>
      <c r="H140" s="10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 t="n">
        <v>0.055</v>
      </c>
      <c r="E141" s="6" t="n">
        <v>0.193</v>
      </c>
      <c r="F141" s="6" t="n">
        <v>0.302</v>
      </c>
      <c r="G141" s="6" t="n">
        <v>0.45</v>
      </c>
      <c r="H141" s="10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 t="n">
        <v>0.11</v>
      </c>
      <c r="E142" s="6" t="n">
        <v>0.08</v>
      </c>
      <c r="F142" s="6" t="n">
        <v>0.01</v>
      </c>
      <c r="G142" s="6" t="n">
        <v>0.8</v>
      </c>
      <c r="H142" s="10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 t="n">
        <v>0.077</v>
      </c>
      <c r="E143" s="6" t="n">
        <v>0.068</v>
      </c>
      <c r="F143" s="6" t="n">
        <v>0.03</v>
      </c>
      <c r="G143" s="6" t="n">
        <v>0.825</v>
      </c>
      <c r="H143" s="10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 t="n">
        <v>0.049</v>
      </c>
      <c r="E144" s="6" t="n">
        <v>0.056</v>
      </c>
      <c r="F144" s="6" t="n">
        <v>0.045</v>
      </c>
      <c r="G144" s="6" t="n">
        <v>0.85</v>
      </c>
      <c r="H144" s="10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 t="n">
        <v>0.027</v>
      </c>
      <c r="E145" s="6" t="n">
        <v>0.045</v>
      </c>
      <c r="F145" s="6" t="n">
        <v>0.053</v>
      </c>
      <c r="G145" s="6" t="n">
        <v>0.875</v>
      </c>
      <c r="H145" s="10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 t="n">
        <v>0.01</v>
      </c>
      <c r="E146" s="6" t="n">
        <v>0.035</v>
      </c>
      <c r="F146" s="6" t="n">
        <v>0.055</v>
      </c>
      <c r="G146" s="6" t="n">
        <v>0.9</v>
      </c>
      <c r="H146" s="10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 t="n">
        <v>0.495</v>
      </c>
      <c r="E147" s="6" t="n">
        <v>0.36</v>
      </c>
      <c r="F147" s="6" t="n">
        <v>0.045</v>
      </c>
      <c r="G147" s="6" t="n">
        <v>0.1</v>
      </c>
      <c r="H147" s="10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 t="n">
        <v>0.355</v>
      </c>
      <c r="E148" s="6" t="n">
        <v>0.315</v>
      </c>
      <c r="F148" s="6" t="n">
        <v>0.142</v>
      </c>
      <c r="G148" s="6" t="n">
        <v>0.188</v>
      </c>
      <c r="H148" s="10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 t="n">
        <v>0.236</v>
      </c>
      <c r="E149" s="6" t="n">
        <v>0.272</v>
      </c>
      <c r="F149" s="6" t="n">
        <v>0.217</v>
      </c>
      <c r="G149" s="6" t="n">
        <v>0.275</v>
      </c>
      <c r="H149" s="10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 t="n">
        <v>0.135</v>
      </c>
      <c r="E150" s="6" t="n">
        <v>0.231</v>
      </c>
      <c r="F150" s="6" t="n">
        <v>0.272</v>
      </c>
      <c r="G150" s="6" t="n">
        <v>0.362</v>
      </c>
      <c r="H150" s="10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 t="n">
        <v>0.055</v>
      </c>
      <c r="E151" s="6" t="n">
        <v>0.193</v>
      </c>
      <c r="F151" s="6" t="n">
        <v>0.302</v>
      </c>
      <c r="G151" s="6" t="n">
        <v>0.45</v>
      </c>
      <c r="H151" s="10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 t="n">
        <v>0.55</v>
      </c>
      <c r="E152" s="6" t="n">
        <v>0.4</v>
      </c>
      <c r="F152" s="6" t="n">
        <v>0.05</v>
      </c>
      <c r="G152" s="6" t="n">
        <v>0</v>
      </c>
      <c r="H152" s="10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 t="n">
        <v>0.438</v>
      </c>
      <c r="E153" s="6" t="n">
        <v>0.388</v>
      </c>
      <c r="F153" s="6" t="n">
        <v>0.174</v>
      </c>
      <c r="G153" s="6" t="n">
        <v>0</v>
      </c>
      <c r="H153" s="10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 t="n">
        <v>0.325</v>
      </c>
      <c r="E154" s="6" t="n">
        <v>0.375</v>
      </c>
      <c r="F154" s="6" t="n">
        <v>0.3</v>
      </c>
      <c r="G154" s="6" t="n">
        <v>0</v>
      </c>
      <c r="H154" s="10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 t="n">
        <v>0.213</v>
      </c>
      <c r="E155" s="6" t="n">
        <v>0.362</v>
      </c>
      <c r="F155" s="6" t="n">
        <v>0.425</v>
      </c>
      <c r="G155" s="6" t="n">
        <v>0</v>
      </c>
      <c r="H155" s="10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 t="n">
        <v>0.1</v>
      </c>
      <c r="E156" s="6" t="n">
        <v>0.35</v>
      </c>
      <c r="F156" s="6" t="n">
        <v>0.55</v>
      </c>
      <c r="G156" s="6" t="n">
        <v>0</v>
      </c>
      <c r="H156" s="10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 t="n">
        <v>0.55</v>
      </c>
      <c r="E157" s="6" t="n">
        <v>0.4</v>
      </c>
      <c r="F157" s="6" t="n">
        <v>0.05</v>
      </c>
      <c r="G157" s="6" t="n">
        <v>0</v>
      </c>
      <c r="H157" s="10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 t="n">
        <v>0.438</v>
      </c>
      <c r="E158" s="6" t="n">
        <v>0.388</v>
      </c>
      <c r="F158" s="6" t="n">
        <v>0.174</v>
      </c>
      <c r="G158" s="6" t="n">
        <v>0</v>
      </c>
      <c r="H158" s="10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 t="n">
        <v>0.325</v>
      </c>
      <c r="E159" s="6" t="n">
        <v>0.375</v>
      </c>
      <c r="F159" s="6" t="n">
        <v>0.3</v>
      </c>
      <c r="G159" s="6" t="n">
        <v>0</v>
      </c>
      <c r="H159" s="10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 t="n">
        <v>0.213</v>
      </c>
      <c r="E160" s="6" t="n">
        <v>0.362</v>
      </c>
      <c r="F160" s="6" t="n">
        <v>0.425</v>
      </c>
      <c r="G160" s="6" t="n">
        <v>0</v>
      </c>
      <c r="H160" s="10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 t="n">
        <v>0.1</v>
      </c>
      <c r="E161" s="6" t="n">
        <v>0.35</v>
      </c>
      <c r="F161" s="6" t="n">
        <v>0.55</v>
      </c>
      <c r="G161" s="6" t="n">
        <v>0</v>
      </c>
      <c r="H161" s="10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 t="n">
        <v>0.193</v>
      </c>
      <c r="E162" s="6" t="n">
        <v>0.14</v>
      </c>
      <c r="F162" s="6" t="n">
        <v>0.017</v>
      </c>
      <c r="G162" s="6" t="n">
        <v>0.65</v>
      </c>
      <c r="H162" s="10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 t="n">
        <v>0.131</v>
      </c>
      <c r="E163" s="6" t="n">
        <v>0.116</v>
      </c>
      <c r="F163" s="6" t="n">
        <v>0.053</v>
      </c>
      <c r="G163" s="6" t="n">
        <v>0.7</v>
      </c>
      <c r="H163" s="10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 t="n">
        <v>0.081</v>
      </c>
      <c r="E164" s="6" t="n">
        <v>0.094</v>
      </c>
      <c r="F164" s="6" t="n">
        <v>0.075</v>
      </c>
      <c r="G164" s="6" t="n">
        <v>0.75</v>
      </c>
      <c r="H164" s="10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 t="n">
        <v>0.043</v>
      </c>
      <c r="E165" s="6" t="n">
        <v>0.07199999999999999</v>
      </c>
      <c r="F165" s="6" t="n">
        <v>0.08500000000000001</v>
      </c>
      <c r="G165" s="6" t="n">
        <v>0.8</v>
      </c>
      <c r="H165" s="10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 t="n">
        <v>0.015</v>
      </c>
      <c r="E166" s="6" t="n">
        <v>0.052</v>
      </c>
      <c r="F166" s="6" t="n">
        <v>0.083</v>
      </c>
      <c r="G166" s="6" t="n">
        <v>0.85</v>
      </c>
      <c r="H166" s="10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 t="n">
        <v>0.55</v>
      </c>
      <c r="E167" s="6" t="n">
        <v>0.4</v>
      </c>
      <c r="F167" s="6" t="n">
        <v>0.05</v>
      </c>
      <c r="G167" s="6" t="n">
        <v>0</v>
      </c>
      <c r="H167" s="10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 t="n">
        <v>0.438</v>
      </c>
      <c r="E168" s="6" t="n">
        <v>0.388</v>
      </c>
      <c r="F168" s="6" t="n">
        <v>0.174</v>
      </c>
      <c r="G168" s="6" t="n">
        <v>0</v>
      </c>
      <c r="H168" s="10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 t="n">
        <v>0.325</v>
      </c>
      <c r="E169" s="6" t="n">
        <v>0.375</v>
      </c>
      <c r="F169" s="6" t="n">
        <v>0.3</v>
      </c>
      <c r="G169" s="6" t="n">
        <v>0</v>
      </c>
      <c r="H169" s="10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 t="n">
        <v>0.213</v>
      </c>
      <c r="E170" s="6" t="n">
        <v>0.362</v>
      </c>
      <c r="F170" s="6" t="n">
        <v>0.425</v>
      </c>
      <c r="G170" s="6" t="n">
        <v>0</v>
      </c>
      <c r="H170" s="10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 t="n">
        <v>0.1</v>
      </c>
      <c r="E171" s="6" t="n">
        <v>0.35</v>
      </c>
      <c r="F171" s="6" t="n">
        <v>0.55</v>
      </c>
      <c r="G171" s="6" t="n">
        <v>0</v>
      </c>
      <c r="H171" s="10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 t="n">
        <v>0.55</v>
      </c>
      <c r="E172" s="6" t="n">
        <v>0.4</v>
      </c>
      <c r="F172" s="6" t="n">
        <v>0.05</v>
      </c>
      <c r="G172" s="6" t="n">
        <v>0</v>
      </c>
      <c r="H172" s="10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 t="n">
        <v>0.438</v>
      </c>
      <c r="E173" s="6" t="n">
        <v>0.388</v>
      </c>
      <c r="F173" s="6" t="n">
        <v>0.174</v>
      </c>
      <c r="G173" s="6" t="n">
        <v>0</v>
      </c>
      <c r="H173" s="10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 t="n">
        <v>0.325</v>
      </c>
      <c r="E174" s="6" t="n">
        <v>0.375</v>
      </c>
      <c r="F174" s="6" t="n">
        <v>0.3</v>
      </c>
      <c r="G174" s="6" t="n">
        <v>0</v>
      </c>
      <c r="H174" s="10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 t="n">
        <v>0.213</v>
      </c>
      <c r="E175" s="6" t="n">
        <v>0.362</v>
      </c>
      <c r="F175" s="6" t="n">
        <v>0.425</v>
      </c>
      <c r="G175" s="6" t="n">
        <v>0</v>
      </c>
      <c r="H175" s="10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 t="n">
        <v>0.1</v>
      </c>
      <c r="E176" s="6" t="n">
        <v>0.35</v>
      </c>
      <c r="F176" s="6" t="n">
        <v>0.55</v>
      </c>
      <c r="G176" s="6" t="n">
        <v>0</v>
      </c>
      <c r="H176" s="10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 t="n">
        <v>0.55</v>
      </c>
      <c r="E177" s="6" t="n">
        <v>0.4</v>
      </c>
      <c r="F177" s="6" t="n">
        <v>0.05</v>
      </c>
      <c r="G177" s="6" t="n">
        <v>0</v>
      </c>
      <c r="H177" s="10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 t="n">
        <v>0.438</v>
      </c>
      <c r="E178" s="6" t="n">
        <v>0.388</v>
      </c>
      <c r="F178" s="6" t="n">
        <v>0.174</v>
      </c>
      <c r="G178" s="6" t="n">
        <v>0</v>
      </c>
      <c r="H178" s="10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 t="n">
        <v>0.325</v>
      </c>
      <c r="E179" s="6" t="n">
        <v>0.375</v>
      </c>
      <c r="F179" s="6" t="n">
        <v>0.3</v>
      </c>
      <c r="G179" s="6" t="n">
        <v>0</v>
      </c>
      <c r="H179" s="10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 t="n">
        <v>0.213</v>
      </c>
      <c r="E180" s="6" t="n">
        <v>0.362</v>
      </c>
      <c r="F180" s="6" t="n">
        <v>0.425</v>
      </c>
      <c r="G180" s="6" t="n">
        <v>0</v>
      </c>
      <c r="H180" s="10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 t="n">
        <v>0.1</v>
      </c>
      <c r="E181" s="6" t="n">
        <v>0.35</v>
      </c>
      <c r="F181" s="6" t="n">
        <v>0.55</v>
      </c>
      <c r="G181" s="6" t="n">
        <v>0</v>
      </c>
      <c r="H181" s="10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2" customWidth="1" min="22" max="22"/>
    <col width="38" customWidth="1" min="23" max="23"/>
    <col width="20" customWidth="1" min="24" max="24"/>
    <col width="26" customWidth="1" min="25" max="25"/>
    <col width="27" customWidth="1" min="26" max="26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h200_reference_tps_per_mw</t>
        </is>
      </c>
      <c r="S1" s="4" t="inlineStr">
        <is>
          <t>b200_reference_tps_per_mw</t>
        </is>
      </c>
      <c r="T1" s="4" t="inlineStr">
        <is>
          <t>gb200_reference_tps_per_mw</t>
        </is>
      </c>
      <c r="U1" s="4" t="inlineStr">
        <is>
          <t>purpose_built_reference_tps_per_mw</t>
        </is>
      </c>
      <c r="V1" s="4" t="inlineStr">
        <is>
          <t>commercial_workload_fit_factor</t>
        </is>
      </c>
      <c r="W1" s="4" t="inlineStr">
        <is>
          <t>fleet_reference_tps_per_mw</t>
        </is>
      </c>
      <c r="X1" s="4" t="inlineStr">
        <is>
          <t>serving_tps_per_mw</t>
        </is>
      </c>
      <c r="Y1" s="4" t="inlineStr">
        <is>
          <t>inference_tokens_per_day</t>
        </is>
      </c>
      <c r="Z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'02_GPU_Mix_Input'!D2</f>
        <v/>
      </c>
      <c r="O2" s="10">
        <f>'02_GPU_Mix_Input'!E2</f>
        <v/>
      </c>
      <c r="P2" s="10">
        <f>'02_GPU_Mix_Input'!F2</f>
        <v/>
      </c>
      <c r="Q2" s="10">
        <f>'02_GPU_Mix_Input'!G2</f>
        <v/>
      </c>
      <c r="R2" s="12">
        <f>INDEX('01_Benchmark_Input'!$D$2:$D$10,MATCH(B2,'01_Benchmark_Input'!$A$2:$A$10,0))</f>
        <v/>
      </c>
      <c r="S2" s="12">
        <f>INDEX('01_Benchmark_Input'!$F$2:$F$10,MATCH(B2,'01_Benchmark_Input'!$A$2:$A$10,0))</f>
        <v/>
      </c>
      <c r="T2" s="12">
        <f>INDEX('01_Benchmark_Input'!$H$2:$H$10,MATCH(B2,'01_Benchmark_Input'!$A$2:$A$10,0))</f>
        <v/>
      </c>
      <c r="U2" s="12">
        <f>INDEX('01_Benchmark_Input'!$J$2:$J$10,MATCH(B2,'01_Benchmark_Input'!$A$2:$A$10,0))</f>
        <v/>
      </c>
      <c r="V2" s="10">
        <f>'02_Inputs'!K2</f>
        <v/>
      </c>
      <c r="W2" s="12">
        <f>N2*R2+O2*S2+P2*T2+Q2*U2</f>
        <v/>
      </c>
      <c r="X2" s="12">
        <f>W2*V2</f>
        <v/>
      </c>
      <c r="Y2" s="12">
        <f>L2*1000*X2*86400</f>
        <v/>
      </c>
      <c r="Z2" s="12">
        <f>Y2*365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'02_GPU_Mix_Input'!D3</f>
        <v/>
      </c>
      <c r="O3" s="10">
        <f>'02_GPU_Mix_Input'!E3</f>
        <v/>
      </c>
      <c r="P3" s="10">
        <f>'02_GPU_Mix_Input'!F3</f>
        <v/>
      </c>
      <c r="Q3" s="10">
        <f>'02_GPU_Mix_Input'!G3</f>
        <v/>
      </c>
      <c r="R3" s="12">
        <f>INDEX('01_Benchmark_Input'!$D$2:$D$10,MATCH(B3,'01_Benchmark_Input'!$A$2:$A$10,0))</f>
        <v/>
      </c>
      <c r="S3" s="12">
        <f>INDEX('01_Benchmark_Input'!$F$2:$F$10,MATCH(B3,'01_Benchmark_Input'!$A$2:$A$10,0))</f>
        <v/>
      </c>
      <c r="T3" s="12">
        <f>INDEX('01_Benchmark_Input'!$H$2:$H$10,MATCH(B3,'01_Benchmark_Input'!$A$2:$A$10,0))</f>
        <v/>
      </c>
      <c r="U3" s="12">
        <f>INDEX('01_Benchmark_Input'!$J$2:$J$10,MATCH(B3,'01_Benchmark_Input'!$A$2:$A$10,0))</f>
        <v/>
      </c>
      <c r="V3" s="10">
        <f>'02_Inputs'!K3</f>
        <v/>
      </c>
      <c r="W3" s="12">
        <f>N3*R3+O3*S3+P3*T3+Q3*U3</f>
        <v/>
      </c>
      <c r="X3" s="12">
        <f>W3*V3</f>
        <v/>
      </c>
      <c r="Y3" s="12">
        <f>L3*1000*X3*86400</f>
        <v/>
      </c>
      <c r="Z3" s="12">
        <f>Y3*365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'02_GPU_Mix_Input'!D4</f>
        <v/>
      </c>
      <c r="O4" s="10">
        <f>'02_GPU_Mix_Input'!E4</f>
        <v/>
      </c>
      <c r="P4" s="10">
        <f>'02_GPU_Mix_Input'!F4</f>
        <v/>
      </c>
      <c r="Q4" s="10">
        <f>'02_GPU_Mix_Input'!G4</f>
        <v/>
      </c>
      <c r="R4" s="12">
        <f>INDEX('01_Benchmark_Input'!$D$2:$D$10,MATCH(B4,'01_Benchmark_Input'!$A$2:$A$10,0))</f>
        <v/>
      </c>
      <c r="S4" s="12">
        <f>INDEX('01_Benchmark_Input'!$F$2:$F$10,MATCH(B4,'01_Benchmark_Input'!$A$2:$A$10,0))</f>
        <v/>
      </c>
      <c r="T4" s="12">
        <f>INDEX('01_Benchmark_Input'!$H$2:$H$10,MATCH(B4,'01_Benchmark_Input'!$A$2:$A$10,0))</f>
        <v/>
      </c>
      <c r="U4" s="12">
        <f>INDEX('01_Benchmark_Input'!$J$2:$J$10,MATCH(B4,'01_Benchmark_Input'!$A$2:$A$10,0))</f>
        <v/>
      </c>
      <c r="V4" s="10">
        <f>'02_Inputs'!K4</f>
        <v/>
      </c>
      <c r="W4" s="12">
        <f>N4*R4+O4*S4+P4*T4+Q4*U4</f>
        <v/>
      </c>
      <c r="X4" s="12">
        <f>W4*V4</f>
        <v/>
      </c>
      <c r="Y4" s="12">
        <f>L4*1000*X4*86400</f>
        <v/>
      </c>
      <c r="Z4" s="12">
        <f>Y4*365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'02_GPU_Mix_Input'!D5</f>
        <v/>
      </c>
      <c r="O5" s="10">
        <f>'02_GPU_Mix_Input'!E5</f>
        <v/>
      </c>
      <c r="P5" s="10">
        <f>'02_GPU_Mix_Input'!F5</f>
        <v/>
      </c>
      <c r="Q5" s="10">
        <f>'02_GPU_Mix_Input'!G5</f>
        <v/>
      </c>
      <c r="R5" s="12">
        <f>INDEX('01_Benchmark_Input'!$D$2:$D$10,MATCH(B5,'01_Benchmark_Input'!$A$2:$A$10,0))</f>
        <v/>
      </c>
      <c r="S5" s="12">
        <f>INDEX('01_Benchmark_Input'!$F$2:$F$10,MATCH(B5,'01_Benchmark_Input'!$A$2:$A$10,0))</f>
        <v/>
      </c>
      <c r="T5" s="12">
        <f>INDEX('01_Benchmark_Input'!$H$2:$H$10,MATCH(B5,'01_Benchmark_Input'!$A$2:$A$10,0))</f>
        <v/>
      </c>
      <c r="U5" s="12">
        <f>INDEX('01_Benchmark_Input'!$J$2:$J$10,MATCH(B5,'01_Benchmark_Input'!$A$2:$A$10,0))</f>
        <v/>
      </c>
      <c r="V5" s="10">
        <f>'02_Inputs'!K5</f>
        <v/>
      </c>
      <c r="W5" s="12">
        <f>N5*R5+O5*S5+P5*T5+Q5*U5</f>
        <v/>
      </c>
      <c r="X5" s="12">
        <f>W5*V5</f>
        <v/>
      </c>
      <c r="Y5" s="12">
        <f>L5*1000*X5*86400</f>
        <v/>
      </c>
      <c r="Z5" s="12">
        <f>Y5*365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'02_GPU_Mix_Input'!D6</f>
        <v/>
      </c>
      <c r="O6" s="10">
        <f>'02_GPU_Mix_Input'!E6</f>
        <v/>
      </c>
      <c r="P6" s="10">
        <f>'02_GPU_Mix_Input'!F6</f>
        <v/>
      </c>
      <c r="Q6" s="10">
        <f>'02_GPU_Mix_Input'!G6</f>
        <v/>
      </c>
      <c r="R6" s="12">
        <f>INDEX('01_Benchmark_Input'!$D$2:$D$10,MATCH(B6,'01_Benchmark_Input'!$A$2:$A$10,0))</f>
        <v/>
      </c>
      <c r="S6" s="12">
        <f>INDEX('01_Benchmark_Input'!$F$2:$F$10,MATCH(B6,'01_Benchmark_Input'!$A$2:$A$10,0))</f>
        <v/>
      </c>
      <c r="T6" s="12">
        <f>INDEX('01_Benchmark_Input'!$H$2:$H$10,MATCH(B6,'01_Benchmark_Input'!$A$2:$A$10,0))</f>
        <v/>
      </c>
      <c r="U6" s="12">
        <f>INDEX('01_Benchmark_Input'!$J$2:$J$10,MATCH(B6,'01_Benchmark_Input'!$A$2:$A$10,0))</f>
        <v/>
      </c>
      <c r="V6" s="10">
        <f>'02_Inputs'!K6</f>
        <v/>
      </c>
      <c r="W6" s="12">
        <f>N6*R6+O6*S6+P6*T6+Q6*U6</f>
        <v/>
      </c>
      <c r="X6" s="12">
        <f>W6*V6</f>
        <v/>
      </c>
      <c r="Y6" s="12">
        <f>L6*1000*X6*86400</f>
        <v/>
      </c>
      <c r="Z6" s="12">
        <f>Y6*365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'02_GPU_Mix_Input'!D7</f>
        <v/>
      </c>
      <c r="O7" s="10">
        <f>'02_GPU_Mix_Input'!E7</f>
        <v/>
      </c>
      <c r="P7" s="10">
        <f>'02_GPU_Mix_Input'!F7</f>
        <v/>
      </c>
      <c r="Q7" s="10">
        <f>'02_GPU_Mix_Input'!G7</f>
        <v/>
      </c>
      <c r="R7" s="12">
        <f>INDEX('01_Benchmark_Input'!$D$2:$D$10,MATCH(B7,'01_Benchmark_Input'!$A$2:$A$10,0))</f>
        <v/>
      </c>
      <c r="S7" s="12">
        <f>INDEX('01_Benchmark_Input'!$F$2:$F$10,MATCH(B7,'01_Benchmark_Input'!$A$2:$A$10,0))</f>
        <v/>
      </c>
      <c r="T7" s="12">
        <f>INDEX('01_Benchmark_Input'!$H$2:$H$10,MATCH(B7,'01_Benchmark_Input'!$A$2:$A$10,0))</f>
        <v/>
      </c>
      <c r="U7" s="12">
        <f>INDEX('01_Benchmark_Input'!$J$2:$J$10,MATCH(B7,'01_Benchmark_Input'!$A$2:$A$10,0))</f>
        <v/>
      </c>
      <c r="V7" s="10">
        <f>'02_Inputs'!K7</f>
        <v/>
      </c>
      <c r="W7" s="12">
        <f>N7*R7+O7*S7+P7*T7+Q7*U7</f>
        <v/>
      </c>
      <c r="X7" s="12">
        <f>W7*V7</f>
        <v/>
      </c>
      <c r="Y7" s="12">
        <f>L7*1000*X7*86400</f>
        <v/>
      </c>
      <c r="Z7" s="12">
        <f>Y7*365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'02_GPU_Mix_Input'!D8</f>
        <v/>
      </c>
      <c r="O8" s="10">
        <f>'02_GPU_Mix_Input'!E8</f>
        <v/>
      </c>
      <c r="P8" s="10">
        <f>'02_GPU_Mix_Input'!F8</f>
        <v/>
      </c>
      <c r="Q8" s="10">
        <f>'02_GPU_Mix_Input'!G8</f>
        <v/>
      </c>
      <c r="R8" s="12">
        <f>INDEX('01_Benchmark_Input'!$D$2:$D$10,MATCH(B8,'01_Benchmark_Input'!$A$2:$A$10,0))</f>
        <v/>
      </c>
      <c r="S8" s="12">
        <f>INDEX('01_Benchmark_Input'!$F$2:$F$10,MATCH(B8,'01_Benchmark_Input'!$A$2:$A$10,0))</f>
        <v/>
      </c>
      <c r="T8" s="12">
        <f>INDEX('01_Benchmark_Input'!$H$2:$H$10,MATCH(B8,'01_Benchmark_Input'!$A$2:$A$10,0))</f>
        <v/>
      </c>
      <c r="U8" s="12">
        <f>INDEX('01_Benchmark_Input'!$J$2:$J$10,MATCH(B8,'01_Benchmark_Input'!$A$2:$A$10,0))</f>
        <v/>
      </c>
      <c r="V8" s="10">
        <f>'02_Inputs'!K8</f>
        <v/>
      </c>
      <c r="W8" s="12">
        <f>N8*R8+O8*S8+P8*T8+Q8*U8</f>
        <v/>
      </c>
      <c r="X8" s="12">
        <f>W8*V8</f>
        <v/>
      </c>
      <c r="Y8" s="12">
        <f>L8*1000*X8*86400</f>
        <v/>
      </c>
      <c r="Z8" s="12">
        <f>Y8*365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'02_GPU_Mix_Input'!D9</f>
        <v/>
      </c>
      <c r="O9" s="10">
        <f>'02_GPU_Mix_Input'!E9</f>
        <v/>
      </c>
      <c r="P9" s="10">
        <f>'02_GPU_Mix_Input'!F9</f>
        <v/>
      </c>
      <c r="Q9" s="10">
        <f>'02_GPU_Mix_Input'!G9</f>
        <v/>
      </c>
      <c r="R9" s="12">
        <f>INDEX('01_Benchmark_Input'!$D$2:$D$10,MATCH(B9,'01_Benchmark_Input'!$A$2:$A$10,0))</f>
        <v/>
      </c>
      <c r="S9" s="12">
        <f>INDEX('01_Benchmark_Input'!$F$2:$F$10,MATCH(B9,'01_Benchmark_Input'!$A$2:$A$10,0))</f>
        <v/>
      </c>
      <c r="T9" s="12">
        <f>INDEX('01_Benchmark_Input'!$H$2:$H$10,MATCH(B9,'01_Benchmark_Input'!$A$2:$A$10,0))</f>
        <v/>
      </c>
      <c r="U9" s="12">
        <f>INDEX('01_Benchmark_Input'!$J$2:$J$10,MATCH(B9,'01_Benchmark_Input'!$A$2:$A$10,0))</f>
        <v/>
      </c>
      <c r="V9" s="10">
        <f>'02_Inputs'!K9</f>
        <v/>
      </c>
      <c r="W9" s="12">
        <f>N9*R9+O9*S9+P9*T9+Q9*U9</f>
        <v/>
      </c>
      <c r="X9" s="12">
        <f>W9*V9</f>
        <v/>
      </c>
      <c r="Y9" s="12">
        <f>L9*1000*X9*86400</f>
        <v/>
      </c>
      <c r="Z9" s="12">
        <f>Y9*365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'02_GPU_Mix_Input'!D10</f>
        <v/>
      </c>
      <c r="O10" s="10">
        <f>'02_GPU_Mix_Input'!E10</f>
        <v/>
      </c>
      <c r="P10" s="10">
        <f>'02_GPU_Mix_Input'!F10</f>
        <v/>
      </c>
      <c r="Q10" s="10">
        <f>'02_GPU_Mix_Input'!G10</f>
        <v/>
      </c>
      <c r="R10" s="12">
        <f>INDEX('01_Benchmark_Input'!$D$2:$D$10,MATCH(B10,'01_Benchmark_Input'!$A$2:$A$10,0))</f>
        <v/>
      </c>
      <c r="S10" s="12">
        <f>INDEX('01_Benchmark_Input'!$F$2:$F$10,MATCH(B10,'01_Benchmark_Input'!$A$2:$A$10,0))</f>
        <v/>
      </c>
      <c r="T10" s="12">
        <f>INDEX('01_Benchmark_Input'!$H$2:$H$10,MATCH(B10,'01_Benchmark_Input'!$A$2:$A$10,0))</f>
        <v/>
      </c>
      <c r="U10" s="12">
        <f>INDEX('01_Benchmark_Input'!$J$2:$J$10,MATCH(B10,'01_Benchmark_Input'!$A$2:$A$10,0))</f>
        <v/>
      </c>
      <c r="V10" s="10">
        <f>'02_Inputs'!K10</f>
        <v/>
      </c>
      <c r="W10" s="12">
        <f>N10*R10+O10*S10+P10*T10+Q10*U10</f>
        <v/>
      </c>
      <c r="X10" s="12">
        <f>W10*V10</f>
        <v/>
      </c>
      <c r="Y10" s="12">
        <f>L10*1000*X10*86400</f>
        <v/>
      </c>
      <c r="Z10" s="12">
        <f>Y10*365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'02_GPU_Mix_Input'!D11</f>
        <v/>
      </c>
      <c r="O11" s="10">
        <f>'02_GPU_Mix_Input'!E11</f>
        <v/>
      </c>
      <c r="P11" s="10">
        <f>'02_GPU_Mix_Input'!F11</f>
        <v/>
      </c>
      <c r="Q11" s="10">
        <f>'02_GPU_Mix_Input'!G11</f>
        <v/>
      </c>
      <c r="R11" s="12">
        <f>INDEX('01_Benchmark_Input'!$D$2:$D$10,MATCH(B11,'01_Benchmark_Input'!$A$2:$A$10,0))</f>
        <v/>
      </c>
      <c r="S11" s="12">
        <f>INDEX('01_Benchmark_Input'!$F$2:$F$10,MATCH(B11,'01_Benchmark_Input'!$A$2:$A$10,0))</f>
        <v/>
      </c>
      <c r="T11" s="12">
        <f>INDEX('01_Benchmark_Input'!$H$2:$H$10,MATCH(B11,'01_Benchmark_Input'!$A$2:$A$10,0))</f>
        <v/>
      </c>
      <c r="U11" s="12">
        <f>INDEX('01_Benchmark_Input'!$J$2:$J$10,MATCH(B11,'01_Benchmark_Input'!$A$2:$A$10,0))</f>
        <v/>
      </c>
      <c r="V11" s="10">
        <f>'02_Inputs'!K11</f>
        <v/>
      </c>
      <c r="W11" s="12">
        <f>N11*R11+O11*S11+P11*T11+Q11*U11</f>
        <v/>
      </c>
      <c r="X11" s="12">
        <f>W11*V11</f>
        <v/>
      </c>
      <c r="Y11" s="12">
        <f>L11*1000*X11*86400</f>
        <v/>
      </c>
      <c r="Z11" s="12">
        <f>Y11*365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'02_GPU_Mix_Input'!D12</f>
        <v/>
      </c>
      <c r="O12" s="10">
        <f>'02_GPU_Mix_Input'!E12</f>
        <v/>
      </c>
      <c r="P12" s="10">
        <f>'02_GPU_Mix_Input'!F12</f>
        <v/>
      </c>
      <c r="Q12" s="10">
        <f>'02_GPU_Mix_Input'!G12</f>
        <v/>
      </c>
      <c r="R12" s="12">
        <f>INDEX('01_Benchmark_Input'!$D$2:$D$10,MATCH(B12,'01_Benchmark_Input'!$A$2:$A$10,0))</f>
        <v/>
      </c>
      <c r="S12" s="12">
        <f>INDEX('01_Benchmark_Input'!$F$2:$F$10,MATCH(B12,'01_Benchmark_Input'!$A$2:$A$10,0))</f>
        <v/>
      </c>
      <c r="T12" s="12">
        <f>INDEX('01_Benchmark_Input'!$H$2:$H$10,MATCH(B12,'01_Benchmark_Input'!$A$2:$A$10,0))</f>
        <v/>
      </c>
      <c r="U12" s="12">
        <f>INDEX('01_Benchmark_Input'!$J$2:$J$10,MATCH(B12,'01_Benchmark_Input'!$A$2:$A$10,0))</f>
        <v/>
      </c>
      <c r="V12" s="10">
        <f>'02_Inputs'!K12</f>
        <v/>
      </c>
      <c r="W12" s="12">
        <f>N12*R12+O12*S12+P12*T12+Q12*U12</f>
        <v/>
      </c>
      <c r="X12" s="12">
        <f>W12*V12</f>
        <v/>
      </c>
      <c r="Y12" s="12">
        <f>L12*1000*X12*86400</f>
        <v/>
      </c>
      <c r="Z12" s="12">
        <f>Y12*365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'02_GPU_Mix_Input'!D13</f>
        <v/>
      </c>
      <c r="O13" s="10">
        <f>'02_GPU_Mix_Input'!E13</f>
        <v/>
      </c>
      <c r="P13" s="10">
        <f>'02_GPU_Mix_Input'!F13</f>
        <v/>
      </c>
      <c r="Q13" s="10">
        <f>'02_GPU_Mix_Input'!G13</f>
        <v/>
      </c>
      <c r="R13" s="12">
        <f>INDEX('01_Benchmark_Input'!$D$2:$D$10,MATCH(B13,'01_Benchmark_Input'!$A$2:$A$10,0))</f>
        <v/>
      </c>
      <c r="S13" s="12">
        <f>INDEX('01_Benchmark_Input'!$F$2:$F$10,MATCH(B13,'01_Benchmark_Input'!$A$2:$A$10,0))</f>
        <v/>
      </c>
      <c r="T13" s="12">
        <f>INDEX('01_Benchmark_Input'!$H$2:$H$10,MATCH(B13,'01_Benchmark_Input'!$A$2:$A$10,0))</f>
        <v/>
      </c>
      <c r="U13" s="12">
        <f>INDEX('01_Benchmark_Input'!$J$2:$J$10,MATCH(B13,'01_Benchmark_Input'!$A$2:$A$10,0))</f>
        <v/>
      </c>
      <c r="V13" s="10">
        <f>'02_Inputs'!K13</f>
        <v/>
      </c>
      <c r="W13" s="12">
        <f>N13*R13+O13*S13+P13*T13+Q13*U13</f>
        <v/>
      </c>
      <c r="X13" s="12">
        <f>W13*V13</f>
        <v/>
      </c>
      <c r="Y13" s="12">
        <f>L13*1000*X13*86400</f>
        <v/>
      </c>
      <c r="Z13" s="12">
        <f>Y13*365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'02_GPU_Mix_Input'!D14</f>
        <v/>
      </c>
      <c r="O14" s="10">
        <f>'02_GPU_Mix_Input'!E14</f>
        <v/>
      </c>
      <c r="P14" s="10">
        <f>'02_GPU_Mix_Input'!F14</f>
        <v/>
      </c>
      <c r="Q14" s="10">
        <f>'02_GPU_Mix_Input'!G14</f>
        <v/>
      </c>
      <c r="R14" s="12">
        <f>INDEX('01_Benchmark_Input'!$D$2:$D$10,MATCH(B14,'01_Benchmark_Input'!$A$2:$A$10,0))</f>
        <v/>
      </c>
      <c r="S14" s="12">
        <f>INDEX('01_Benchmark_Input'!$F$2:$F$10,MATCH(B14,'01_Benchmark_Input'!$A$2:$A$10,0))</f>
        <v/>
      </c>
      <c r="T14" s="12">
        <f>INDEX('01_Benchmark_Input'!$H$2:$H$10,MATCH(B14,'01_Benchmark_Input'!$A$2:$A$10,0))</f>
        <v/>
      </c>
      <c r="U14" s="12">
        <f>INDEX('01_Benchmark_Input'!$J$2:$J$10,MATCH(B14,'01_Benchmark_Input'!$A$2:$A$10,0))</f>
        <v/>
      </c>
      <c r="V14" s="10">
        <f>'02_Inputs'!K14</f>
        <v/>
      </c>
      <c r="W14" s="12">
        <f>N14*R14+O14*S14+P14*T14+Q14*U14</f>
        <v/>
      </c>
      <c r="X14" s="12">
        <f>W14*V14</f>
        <v/>
      </c>
      <c r="Y14" s="12">
        <f>L14*1000*X14*86400</f>
        <v/>
      </c>
      <c r="Z14" s="12">
        <f>Y14*365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'02_GPU_Mix_Input'!D15</f>
        <v/>
      </c>
      <c r="O15" s="10">
        <f>'02_GPU_Mix_Input'!E15</f>
        <v/>
      </c>
      <c r="P15" s="10">
        <f>'02_GPU_Mix_Input'!F15</f>
        <v/>
      </c>
      <c r="Q15" s="10">
        <f>'02_GPU_Mix_Input'!G15</f>
        <v/>
      </c>
      <c r="R15" s="12">
        <f>INDEX('01_Benchmark_Input'!$D$2:$D$10,MATCH(B15,'01_Benchmark_Input'!$A$2:$A$10,0))</f>
        <v/>
      </c>
      <c r="S15" s="12">
        <f>INDEX('01_Benchmark_Input'!$F$2:$F$10,MATCH(B15,'01_Benchmark_Input'!$A$2:$A$10,0))</f>
        <v/>
      </c>
      <c r="T15" s="12">
        <f>INDEX('01_Benchmark_Input'!$H$2:$H$10,MATCH(B15,'01_Benchmark_Input'!$A$2:$A$10,0))</f>
        <v/>
      </c>
      <c r="U15" s="12">
        <f>INDEX('01_Benchmark_Input'!$J$2:$J$10,MATCH(B15,'01_Benchmark_Input'!$A$2:$A$10,0))</f>
        <v/>
      </c>
      <c r="V15" s="10">
        <f>'02_Inputs'!K15</f>
        <v/>
      </c>
      <c r="W15" s="12">
        <f>N15*R15+O15*S15+P15*T15+Q15*U15</f>
        <v/>
      </c>
      <c r="X15" s="12">
        <f>W15*V15</f>
        <v/>
      </c>
      <c r="Y15" s="12">
        <f>L15*1000*X15*86400</f>
        <v/>
      </c>
      <c r="Z15" s="12">
        <f>Y15*365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'02_GPU_Mix_Input'!D16</f>
        <v/>
      </c>
      <c r="O16" s="10">
        <f>'02_GPU_Mix_Input'!E16</f>
        <v/>
      </c>
      <c r="P16" s="10">
        <f>'02_GPU_Mix_Input'!F16</f>
        <v/>
      </c>
      <c r="Q16" s="10">
        <f>'02_GPU_Mix_Input'!G16</f>
        <v/>
      </c>
      <c r="R16" s="12">
        <f>INDEX('01_Benchmark_Input'!$D$2:$D$10,MATCH(B16,'01_Benchmark_Input'!$A$2:$A$10,0))</f>
        <v/>
      </c>
      <c r="S16" s="12">
        <f>INDEX('01_Benchmark_Input'!$F$2:$F$10,MATCH(B16,'01_Benchmark_Input'!$A$2:$A$10,0))</f>
        <v/>
      </c>
      <c r="T16" s="12">
        <f>INDEX('01_Benchmark_Input'!$H$2:$H$10,MATCH(B16,'01_Benchmark_Input'!$A$2:$A$10,0))</f>
        <v/>
      </c>
      <c r="U16" s="12">
        <f>INDEX('01_Benchmark_Input'!$J$2:$J$10,MATCH(B16,'01_Benchmark_Input'!$A$2:$A$10,0))</f>
        <v/>
      </c>
      <c r="V16" s="10">
        <f>'02_Inputs'!K16</f>
        <v/>
      </c>
      <c r="W16" s="12">
        <f>N16*R16+O16*S16+P16*T16+Q16*U16</f>
        <v/>
      </c>
      <c r="X16" s="12">
        <f>W16*V16</f>
        <v/>
      </c>
      <c r="Y16" s="12">
        <f>L16*1000*X16*86400</f>
        <v/>
      </c>
      <c r="Z16" s="12">
        <f>Y16*365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'02_GPU_Mix_Input'!D17</f>
        <v/>
      </c>
      <c r="O17" s="10">
        <f>'02_GPU_Mix_Input'!E17</f>
        <v/>
      </c>
      <c r="P17" s="10">
        <f>'02_GPU_Mix_Input'!F17</f>
        <v/>
      </c>
      <c r="Q17" s="10">
        <f>'02_GPU_Mix_Input'!G17</f>
        <v/>
      </c>
      <c r="R17" s="12">
        <f>INDEX('01_Benchmark_Input'!$D$2:$D$10,MATCH(B17,'01_Benchmark_Input'!$A$2:$A$10,0))</f>
        <v/>
      </c>
      <c r="S17" s="12">
        <f>INDEX('01_Benchmark_Input'!$F$2:$F$10,MATCH(B17,'01_Benchmark_Input'!$A$2:$A$10,0))</f>
        <v/>
      </c>
      <c r="T17" s="12">
        <f>INDEX('01_Benchmark_Input'!$H$2:$H$10,MATCH(B17,'01_Benchmark_Input'!$A$2:$A$10,0))</f>
        <v/>
      </c>
      <c r="U17" s="12">
        <f>INDEX('01_Benchmark_Input'!$J$2:$J$10,MATCH(B17,'01_Benchmark_Input'!$A$2:$A$10,0))</f>
        <v/>
      </c>
      <c r="V17" s="10">
        <f>'02_Inputs'!K17</f>
        <v/>
      </c>
      <c r="W17" s="12">
        <f>N17*R17+O17*S17+P17*T17+Q17*U17</f>
        <v/>
      </c>
      <c r="X17" s="12">
        <f>W17*V17</f>
        <v/>
      </c>
      <c r="Y17" s="12">
        <f>L17*1000*X17*86400</f>
        <v/>
      </c>
      <c r="Z17" s="12">
        <f>Y17*365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'02_GPU_Mix_Input'!D18</f>
        <v/>
      </c>
      <c r="O18" s="10">
        <f>'02_GPU_Mix_Input'!E18</f>
        <v/>
      </c>
      <c r="P18" s="10">
        <f>'02_GPU_Mix_Input'!F18</f>
        <v/>
      </c>
      <c r="Q18" s="10">
        <f>'02_GPU_Mix_Input'!G18</f>
        <v/>
      </c>
      <c r="R18" s="12">
        <f>INDEX('01_Benchmark_Input'!$D$2:$D$10,MATCH(B18,'01_Benchmark_Input'!$A$2:$A$10,0))</f>
        <v/>
      </c>
      <c r="S18" s="12">
        <f>INDEX('01_Benchmark_Input'!$F$2:$F$10,MATCH(B18,'01_Benchmark_Input'!$A$2:$A$10,0))</f>
        <v/>
      </c>
      <c r="T18" s="12">
        <f>INDEX('01_Benchmark_Input'!$H$2:$H$10,MATCH(B18,'01_Benchmark_Input'!$A$2:$A$10,0))</f>
        <v/>
      </c>
      <c r="U18" s="12">
        <f>INDEX('01_Benchmark_Input'!$J$2:$J$10,MATCH(B18,'01_Benchmark_Input'!$A$2:$A$10,0))</f>
        <v/>
      </c>
      <c r="V18" s="10">
        <f>'02_Inputs'!K18</f>
        <v/>
      </c>
      <c r="W18" s="12">
        <f>N18*R18+O18*S18+P18*T18+Q18*U18</f>
        <v/>
      </c>
      <c r="X18" s="12">
        <f>W18*V18</f>
        <v/>
      </c>
      <c r="Y18" s="12">
        <f>L18*1000*X18*86400</f>
        <v/>
      </c>
      <c r="Z18" s="12">
        <f>Y18*365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'02_GPU_Mix_Input'!D19</f>
        <v/>
      </c>
      <c r="O19" s="10">
        <f>'02_GPU_Mix_Input'!E19</f>
        <v/>
      </c>
      <c r="P19" s="10">
        <f>'02_GPU_Mix_Input'!F19</f>
        <v/>
      </c>
      <c r="Q19" s="10">
        <f>'02_GPU_Mix_Input'!G19</f>
        <v/>
      </c>
      <c r="R19" s="12">
        <f>INDEX('01_Benchmark_Input'!$D$2:$D$10,MATCH(B19,'01_Benchmark_Input'!$A$2:$A$10,0))</f>
        <v/>
      </c>
      <c r="S19" s="12">
        <f>INDEX('01_Benchmark_Input'!$F$2:$F$10,MATCH(B19,'01_Benchmark_Input'!$A$2:$A$10,0))</f>
        <v/>
      </c>
      <c r="T19" s="12">
        <f>INDEX('01_Benchmark_Input'!$H$2:$H$10,MATCH(B19,'01_Benchmark_Input'!$A$2:$A$10,0))</f>
        <v/>
      </c>
      <c r="U19" s="12">
        <f>INDEX('01_Benchmark_Input'!$J$2:$J$10,MATCH(B19,'01_Benchmark_Input'!$A$2:$A$10,0))</f>
        <v/>
      </c>
      <c r="V19" s="10">
        <f>'02_Inputs'!K19</f>
        <v/>
      </c>
      <c r="W19" s="12">
        <f>N19*R19+O19*S19+P19*T19+Q19*U19</f>
        <v/>
      </c>
      <c r="X19" s="12">
        <f>W19*V19</f>
        <v/>
      </c>
      <c r="Y19" s="12">
        <f>L19*1000*X19*86400</f>
        <v/>
      </c>
      <c r="Z19" s="12">
        <f>Y19*365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'02_GPU_Mix_Input'!D20</f>
        <v/>
      </c>
      <c r="O20" s="10">
        <f>'02_GPU_Mix_Input'!E20</f>
        <v/>
      </c>
      <c r="P20" s="10">
        <f>'02_GPU_Mix_Input'!F20</f>
        <v/>
      </c>
      <c r="Q20" s="10">
        <f>'02_GPU_Mix_Input'!G20</f>
        <v/>
      </c>
      <c r="R20" s="12">
        <f>INDEX('01_Benchmark_Input'!$D$2:$D$10,MATCH(B20,'01_Benchmark_Input'!$A$2:$A$10,0))</f>
        <v/>
      </c>
      <c r="S20" s="12">
        <f>INDEX('01_Benchmark_Input'!$F$2:$F$10,MATCH(B20,'01_Benchmark_Input'!$A$2:$A$10,0))</f>
        <v/>
      </c>
      <c r="T20" s="12">
        <f>INDEX('01_Benchmark_Input'!$H$2:$H$10,MATCH(B20,'01_Benchmark_Input'!$A$2:$A$10,0))</f>
        <v/>
      </c>
      <c r="U20" s="12">
        <f>INDEX('01_Benchmark_Input'!$J$2:$J$10,MATCH(B20,'01_Benchmark_Input'!$A$2:$A$10,0))</f>
        <v/>
      </c>
      <c r="V20" s="10">
        <f>'02_Inputs'!K20</f>
        <v/>
      </c>
      <c r="W20" s="12">
        <f>N20*R20+O20*S20+P20*T20+Q20*U20</f>
        <v/>
      </c>
      <c r="X20" s="12">
        <f>W20*V20</f>
        <v/>
      </c>
      <c r="Y20" s="12">
        <f>L20*1000*X20*86400</f>
        <v/>
      </c>
      <c r="Z20" s="12">
        <f>Y20*365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'02_GPU_Mix_Input'!D21</f>
        <v/>
      </c>
      <c r="O21" s="10">
        <f>'02_GPU_Mix_Input'!E21</f>
        <v/>
      </c>
      <c r="P21" s="10">
        <f>'02_GPU_Mix_Input'!F21</f>
        <v/>
      </c>
      <c r="Q21" s="10">
        <f>'02_GPU_Mix_Input'!G21</f>
        <v/>
      </c>
      <c r="R21" s="12">
        <f>INDEX('01_Benchmark_Input'!$D$2:$D$10,MATCH(B21,'01_Benchmark_Input'!$A$2:$A$10,0))</f>
        <v/>
      </c>
      <c r="S21" s="12">
        <f>INDEX('01_Benchmark_Input'!$F$2:$F$10,MATCH(B21,'01_Benchmark_Input'!$A$2:$A$10,0))</f>
        <v/>
      </c>
      <c r="T21" s="12">
        <f>INDEX('01_Benchmark_Input'!$H$2:$H$10,MATCH(B21,'01_Benchmark_Input'!$A$2:$A$10,0))</f>
        <v/>
      </c>
      <c r="U21" s="12">
        <f>INDEX('01_Benchmark_Input'!$J$2:$J$10,MATCH(B21,'01_Benchmark_Input'!$A$2:$A$10,0))</f>
        <v/>
      </c>
      <c r="V21" s="10">
        <f>'02_Inputs'!K21</f>
        <v/>
      </c>
      <c r="W21" s="12">
        <f>N21*R21+O21*S21+P21*T21+Q21*U21</f>
        <v/>
      </c>
      <c r="X21" s="12">
        <f>W21*V21</f>
        <v/>
      </c>
      <c r="Y21" s="12">
        <f>L21*1000*X21*86400</f>
        <v/>
      </c>
      <c r="Z21" s="12">
        <f>Y21*365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'02_GPU_Mix_Input'!D22</f>
        <v/>
      </c>
      <c r="O22" s="10">
        <f>'02_GPU_Mix_Input'!E22</f>
        <v/>
      </c>
      <c r="P22" s="10">
        <f>'02_GPU_Mix_Input'!F22</f>
        <v/>
      </c>
      <c r="Q22" s="10">
        <f>'02_GPU_Mix_Input'!G22</f>
        <v/>
      </c>
      <c r="R22" s="12">
        <f>INDEX('01_Benchmark_Input'!$D$2:$D$10,MATCH(B22,'01_Benchmark_Input'!$A$2:$A$10,0))</f>
        <v/>
      </c>
      <c r="S22" s="12">
        <f>INDEX('01_Benchmark_Input'!$F$2:$F$10,MATCH(B22,'01_Benchmark_Input'!$A$2:$A$10,0))</f>
        <v/>
      </c>
      <c r="T22" s="12">
        <f>INDEX('01_Benchmark_Input'!$H$2:$H$10,MATCH(B22,'01_Benchmark_Input'!$A$2:$A$10,0))</f>
        <v/>
      </c>
      <c r="U22" s="12">
        <f>INDEX('01_Benchmark_Input'!$J$2:$J$10,MATCH(B22,'01_Benchmark_Input'!$A$2:$A$10,0))</f>
        <v/>
      </c>
      <c r="V22" s="10">
        <f>'02_Inputs'!K22</f>
        <v/>
      </c>
      <c r="W22" s="12">
        <f>N22*R22+O22*S22+P22*T22+Q22*U22</f>
        <v/>
      </c>
      <c r="X22" s="12">
        <f>W22*V22</f>
        <v/>
      </c>
      <c r="Y22" s="12">
        <f>L22*1000*X22*86400</f>
        <v/>
      </c>
      <c r="Z22" s="12">
        <f>Y22*365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'02_GPU_Mix_Input'!D23</f>
        <v/>
      </c>
      <c r="O23" s="10">
        <f>'02_GPU_Mix_Input'!E23</f>
        <v/>
      </c>
      <c r="P23" s="10">
        <f>'02_GPU_Mix_Input'!F23</f>
        <v/>
      </c>
      <c r="Q23" s="10">
        <f>'02_GPU_Mix_Input'!G23</f>
        <v/>
      </c>
      <c r="R23" s="12">
        <f>INDEX('01_Benchmark_Input'!$D$2:$D$10,MATCH(B23,'01_Benchmark_Input'!$A$2:$A$10,0))</f>
        <v/>
      </c>
      <c r="S23" s="12">
        <f>INDEX('01_Benchmark_Input'!$F$2:$F$10,MATCH(B23,'01_Benchmark_Input'!$A$2:$A$10,0))</f>
        <v/>
      </c>
      <c r="T23" s="12">
        <f>INDEX('01_Benchmark_Input'!$H$2:$H$10,MATCH(B23,'01_Benchmark_Input'!$A$2:$A$10,0))</f>
        <v/>
      </c>
      <c r="U23" s="12">
        <f>INDEX('01_Benchmark_Input'!$J$2:$J$10,MATCH(B23,'01_Benchmark_Input'!$A$2:$A$10,0))</f>
        <v/>
      </c>
      <c r="V23" s="10">
        <f>'02_Inputs'!K23</f>
        <v/>
      </c>
      <c r="W23" s="12">
        <f>N23*R23+O23*S23+P23*T23+Q23*U23</f>
        <v/>
      </c>
      <c r="X23" s="12">
        <f>W23*V23</f>
        <v/>
      </c>
      <c r="Y23" s="12">
        <f>L23*1000*X23*86400</f>
        <v/>
      </c>
      <c r="Z23" s="12">
        <f>Y23*365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'02_GPU_Mix_Input'!D24</f>
        <v/>
      </c>
      <c r="O24" s="10">
        <f>'02_GPU_Mix_Input'!E24</f>
        <v/>
      </c>
      <c r="P24" s="10">
        <f>'02_GPU_Mix_Input'!F24</f>
        <v/>
      </c>
      <c r="Q24" s="10">
        <f>'02_GPU_Mix_Input'!G24</f>
        <v/>
      </c>
      <c r="R24" s="12">
        <f>INDEX('01_Benchmark_Input'!$D$2:$D$10,MATCH(B24,'01_Benchmark_Input'!$A$2:$A$10,0))</f>
        <v/>
      </c>
      <c r="S24" s="12">
        <f>INDEX('01_Benchmark_Input'!$F$2:$F$10,MATCH(B24,'01_Benchmark_Input'!$A$2:$A$10,0))</f>
        <v/>
      </c>
      <c r="T24" s="12">
        <f>INDEX('01_Benchmark_Input'!$H$2:$H$10,MATCH(B24,'01_Benchmark_Input'!$A$2:$A$10,0))</f>
        <v/>
      </c>
      <c r="U24" s="12">
        <f>INDEX('01_Benchmark_Input'!$J$2:$J$10,MATCH(B24,'01_Benchmark_Input'!$A$2:$A$10,0))</f>
        <v/>
      </c>
      <c r="V24" s="10">
        <f>'02_Inputs'!K24</f>
        <v/>
      </c>
      <c r="W24" s="12">
        <f>N24*R24+O24*S24+P24*T24+Q24*U24</f>
        <v/>
      </c>
      <c r="X24" s="12">
        <f>W24*V24</f>
        <v/>
      </c>
      <c r="Y24" s="12">
        <f>L24*1000*X24*86400</f>
        <v/>
      </c>
      <c r="Z24" s="12">
        <f>Y24*365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'02_GPU_Mix_Input'!D25</f>
        <v/>
      </c>
      <c r="O25" s="10">
        <f>'02_GPU_Mix_Input'!E25</f>
        <v/>
      </c>
      <c r="P25" s="10">
        <f>'02_GPU_Mix_Input'!F25</f>
        <v/>
      </c>
      <c r="Q25" s="10">
        <f>'02_GPU_Mix_Input'!G25</f>
        <v/>
      </c>
      <c r="R25" s="12">
        <f>INDEX('01_Benchmark_Input'!$D$2:$D$10,MATCH(B25,'01_Benchmark_Input'!$A$2:$A$10,0))</f>
        <v/>
      </c>
      <c r="S25" s="12">
        <f>INDEX('01_Benchmark_Input'!$F$2:$F$10,MATCH(B25,'01_Benchmark_Input'!$A$2:$A$10,0))</f>
        <v/>
      </c>
      <c r="T25" s="12">
        <f>INDEX('01_Benchmark_Input'!$H$2:$H$10,MATCH(B25,'01_Benchmark_Input'!$A$2:$A$10,0))</f>
        <v/>
      </c>
      <c r="U25" s="12">
        <f>INDEX('01_Benchmark_Input'!$J$2:$J$10,MATCH(B25,'01_Benchmark_Input'!$A$2:$A$10,0))</f>
        <v/>
      </c>
      <c r="V25" s="10">
        <f>'02_Inputs'!K25</f>
        <v/>
      </c>
      <c r="W25" s="12">
        <f>N25*R25+O25*S25+P25*T25+Q25*U25</f>
        <v/>
      </c>
      <c r="X25" s="12">
        <f>W25*V25</f>
        <v/>
      </c>
      <c r="Y25" s="12">
        <f>L25*1000*X25*86400</f>
        <v/>
      </c>
      <c r="Z25" s="12">
        <f>Y25*365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'02_GPU_Mix_Input'!D26</f>
        <v/>
      </c>
      <c r="O26" s="10">
        <f>'02_GPU_Mix_Input'!E26</f>
        <v/>
      </c>
      <c r="P26" s="10">
        <f>'02_GPU_Mix_Input'!F26</f>
        <v/>
      </c>
      <c r="Q26" s="10">
        <f>'02_GPU_Mix_Input'!G26</f>
        <v/>
      </c>
      <c r="R26" s="12">
        <f>INDEX('01_Benchmark_Input'!$D$2:$D$10,MATCH(B26,'01_Benchmark_Input'!$A$2:$A$10,0))</f>
        <v/>
      </c>
      <c r="S26" s="12">
        <f>INDEX('01_Benchmark_Input'!$F$2:$F$10,MATCH(B26,'01_Benchmark_Input'!$A$2:$A$10,0))</f>
        <v/>
      </c>
      <c r="T26" s="12">
        <f>INDEX('01_Benchmark_Input'!$H$2:$H$10,MATCH(B26,'01_Benchmark_Input'!$A$2:$A$10,0))</f>
        <v/>
      </c>
      <c r="U26" s="12">
        <f>INDEX('01_Benchmark_Input'!$J$2:$J$10,MATCH(B26,'01_Benchmark_Input'!$A$2:$A$10,0))</f>
        <v/>
      </c>
      <c r="V26" s="10">
        <f>'02_Inputs'!K26</f>
        <v/>
      </c>
      <c r="W26" s="12">
        <f>N26*R26+O26*S26+P26*T26+Q26*U26</f>
        <v/>
      </c>
      <c r="X26" s="12">
        <f>W26*V26</f>
        <v/>
      </c>
      <c r="Y26" s="12">
        <f>L26*1000*X26*86400</f>
        <v/>
      </c>
      <c r="Z26" s="12">
        <f>Y26*365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'02_GPU_Mix_Input'!D27</f>
        <v/>
      </c>
      <c r="O27" s="10">
        <f>'02_GPU_Mix_Input'!E27</f>
        <v/>
      </c>
      <c r="P27" s="10">
        <f>'02_GPU_Mix_Input'!F27</f>
        <v/>
      </c>
      <c r="Q27" s="10">
        <f>'02_GPU_Mix_Input'!G27</f>
        <v/>
      </c>
      <c r="R27" s="12">
        <f>INDEX('01_Benchmark_Input'!$D$2:$D$10,MATCH(B27,'01_Benchmark_Input'!$A$2:$A$10,0))</f>
        <v/>
      </c>
      <c r="S27" s="12">
        <f>INDEX('01_Benchmark_Input'!$F$2:$F$10,MATCH(B27,'01_Benchmark_Input'!$A$2:$A$10,0))</f>
        <v/>
      </c>
      <c r="T27" s="12">
        <f>INDEX('01_Benchmark_Input'!$H$2:$H$10,MATCH(B27,'01_Benchmark_Input'!$A$2:$A$10,0))</f>
        <v/>
      </c>
      <c r="U27" s="12">
        <f>INDEX('01_Benchmark_Input'!$J$2:$J$10,MATCH(B27,'01_Benchmark_Input'!$A$2:$A$10,0))</f>
        <v/>
      </c>
      <c r="V27" s="10">
        <f>'02_Inputs'!K27</f>
        <v/>
      </c>
      <c r="W27" s="12">
        <f>N27*R27+O27*S27+P27*T27+Q27*U27</f>
        <v/>
      </c>
      <c r="X27" s="12">
        <f>W27*V27</f>
        <v/>
      </c>
      <c r="Y27" s="12">
        <f>L27*1000*X27*86400</f>
        <v/>
      </c>
      <c r="Z27" s="12">
        <f>Y27*365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'02_GPU_Mix_Input'!D28</f>
        <v/>
      </c>
      <c r="O28" s="10">
        <f>'02_GPU_Mix_Input'!E28</f>
        <v/>
      </c>
      <c r="P28" s="10">
        <f>'02_GPU_Mix_Input'!F28</f>
        <v/>
      </c>
      <c r="Q28" s="10">
        <f>'02_GPU_Mix_Input'!G28</f>
        <v/>
      </c>
      <c r="R28" s="12">
        <f>INDEX('01_Benchmark_Input'!$D$2:$D$10,MATCH(B28,'01_Benchmark_Input'!$A$2:$A$10,0))</f>
        <v/>
      </c>
      <c r="S28" s="12">
        <f>INDEX('01_Benchmark_Input'!$F$2:$F$10,MATCH(B28,'01_Benchmark_Input'!$A$2:$A$10,0))</f>
        <v/>
      </c>
      <c r="T28" s="12">
        <f>INDEX('01_Benchmark_Input'!$H$2:$H$10,MATCH(B28,'01_Benchmark_Input'!$A$2:$A$10,0))</f>
        <v/>
      </c>
      <c r="U28" s="12">
        <f>INDEX('01_Benchmark_Input'!$J$2:$J$10,MATCH(B28,'01_Benchmark_Input'!$A$2:$A$10,0))</f>
        <v/>
      </c>
      <c r="V28" s="10">
        <f>'02_Inputs'!K28</f>
        <v/>
      </c>
      <c r="W28" s="12">
        <f>N28*R28+O28*S28+P28*T28+Q28*U28</f>
        <v/>
      </c>
      <c r="X28" s="12">
        <f>W28*V28</f>
        <v/>
      </c>
      <c r="Y28" s="12">
        <f>L28*1000*X28*86400</f>
        <v/>
      </c>
      <c r="Z28" s="12">
        <f>Y28*365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'02_GPU_Mix_Input'!D29</f>
        <v/>
      </c>
      <c r="O29" s="10">
        <f>'02_GPU_Mix_Input'!E29</f>
        <v/>
      </c>
      <c r="P29" s="10">
        <f>'02_GPU_Mix_Input'!F29</f>
        <v/>
      </c>
      <c r="Q29" s="10">
        <f>'02_GPU_Mix_Input'!G29</f>
        <v/>
      </c>
      <c r="R29" s="12">
        <f>INDEX('01_Benchmark_Input'!$D$2:$D$10,MATCH(B29,'01_Benchmark_Input'!$A$2:$A$10,0))</f>
        <v/>
      </c>
      <c r="S29" s="12">
        <f>INDEX('01_Benchmark_Input'!$F$2:$F$10,MATCH(B29,'01_Benchmark_Input'!$A$2:$A$10,0))</f>
        <v/>
      </c>
      <c r="T29" s="12">
        <f>INDEX('01_Benchmark_Input'!$H$2:$H$10,MATCH(B29,'01_Benchmark_Input'!$A$2:$A$10,0))</f>
        <v/>
      </c>
      <c r="U29" s="12">
        <f>INDEX('01_Benchmark_Input'!$J$2:$J$10,MATCH(B29,'01_Benchmark_Input'!$A$2:$A$10,0))</f>
        <v/>
      </c>
      <c r="V29" s="10">
        <f>'02_Inputs'!K29</f>
        <v/>
      </c>
      <c r="W29" s="12">
        <f>N29*R29+O29*S29+P29*T29+Q29*U29</f>
        <v/>
      </c>
      <c r="X29" s="12">
        <f>W29*V29</f>
        <v/>
      </c>
      <c r="Y29" s="12">
        <f>L29*1000*X29*86400</f>
        <v/>
      </c>
      <c r="Z29" s="12">
        <f>Y29*365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'02_GPU_Mix_Input'!D30</f>
        <v/>
      </c>
      <c r="O30" s="10">
        <f>'02_GPU_Mix_Input'!E30</f>
        <v/>
      </c>
      <c r="P30" s="10">
        <f>'02_GPU_Mix_Input'!F30</f>
        <v/>
      </c>
      <c r="Q30" s="10">
        <f>'02_GPU_Mix_Input'!G30</f>
        <v/>
      </c>
      <c r="R30" s="12">
        <f>INDEX('01_Benchmark_Input'!$D$2:$D$10,MATCH(B30,'01_Benchmark_Input'!$A$2:$A$10,0))</f>
        <v/>
      </c>
      <c r="S30" s="12">
        <f>INDEX('01_Benchmark_Input'!$F$2:$F$10,MATCH(B30,'01_Benchmark_Input'!$A$2:$A$10,0))</f>
        <v/>
      </c>
      <c r="T30" s="12">
        <f>INDEX('01_Benchmark_Input'!$H$2:$H$10,MATCH(B30,'01_Benchmark_Input'!$A$2:$A$10,0))</f>
        <v/>
      </c>
      <c r="U30" s="12">
        <f>INDEX('01_Benchmark_Input'!$J$2:$J$10,MATCH(B30,'01_Benchmark_Input'!$A$2:$A$10,0))</f>
        <v/>
      </c>
      <c r="V30" s="10">
        <f>'02_Inputs'!K30</f>
        <v/>
      </c>
      <c r="W30" s="12">
        <f>N30*R30+O30*S30+P30*T30+Q30*U30</f>
        <v/>
      </c>
      <c r="X30" s="12">
        <f>W30*V30</f>
        <v/>
      </c>
      <c r="Y30" s="12">
        <f>L30*1000*X30*86400</f>
        <v/>
      </c>
      <c r="Z30" s="12">
        <f>Y30*365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'02_GPU_Mix_Input'!D31</f>
        <v/>
      </c>
      <c r="O31" s="10">
        <f>'02_GPU_Mix_Input'!E31</f>
        <v/>
      </c>
      <c r="P31" s="10">
        <f>'02_GPU_Mix_Input'!F31</f>
        <v/>
      </c>
      <c r="Q31" s="10">
        <f>'02_GPU_Mix_Input'!G31</f>
        <v/>
      </c>
      <c r="R31" s="12">
        <f>INDEX('01_Benchmark_Input'!$D$2:$D$10,MATCH(B31,'01_Benchmark_Input'!$A$2:$A$10,0))</f>
        <v/>
      </c>
      <c r="S31" s="12">
        <f>INDEX('01_Benchmark_Input'!$F$2:$F$10,MATCH(B31,'01_Benchmark_Input'!$A$2:$A$10,0))</f>
        <v/>
      </c>
      <c r="T31" s="12">
        <f>INDEX('01_Benchmark_Input'!$H$2:$H$10,MATCH(B31,'01_Benchmark_Input'!$A$2:$A$10,0))</f>
        <v/>
      </c>
      <c r="U31" s="12">
        <f>INDEX('01_Benchmark_Input'!$J$2:$J$10,MATCH(B31,'01_Benchmark_Input'!$A$2:$A$10,0))</f>
        <v/>
      </c>
      <c r="V31" s="10">
        <f>'02_Inputs'!K31</f>
        <v/>
      </c>
      <c r="W31" s="12">
        <f>N31*R31+O31*S31+P31*T31+Q31*U31</f>
        <v/>
      </c>
      <c r="X31" s="12">
        <f>W31*V31</f>
        <v/>
      </c>
      <c r="Y31" s="12">
        <f>L31*1000*X31*86400</f>
        <v/>
      </c>
      <c r="Z31" s="12">
        <f>Y31*365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'02_GPU_Mix_Input'!D32</f>
        <v/>
      </c>
      <c r="O32" s="10">
        <f>'02_GPU_Mix_Input'!E32</f>
        <v/>
      </c>
      <c r="P32" s="10">
        <f>'02_GPU_Mix_Input'!F32</f>
        <v/>
      </c>
      <c r="Q32" s="10">
        <f>'02_GPU_Mix_Input'!G32</f>
        <v/>
      </c>
      <c r="R32" s="12">
        <f>INDEX('01_Benchmark_Input'!$D$2:$D$10,MATCH(B32,'01_Benchmark_Input'!$A$2:$A$10,0))</f>
        <v/>
      </c>
      <c r="S32" s="12">
        <f>INDEX('01_Benchmark_Input'!$F$2:$F$10,MATCH(B32,'01_Benchmark_Input'!$A$2:$A$10,0))</f>
        <v/>
      </c>
      <c r="T32" s="12">
        <f>INDEX('01_Benchmark_Input'!$H$2:$H$10,MATCH(B32,'01_Benchmark_Input'!$A$2:$A$10,0))</f>
        <v/>
      </c>
      <c r="U32" s="12">
        <f>INDEX('01_Benchmark_Input'!$J$2:$J$10,MATCH(B32,'01_Benchmark_Input'!$A$2:$A$10,0))</f>
        <v/>
      </c>
      <c r="V32" s="10">
        <f>'02_Inputs'!K32</f>
        <v/>
      </c>
      <c r="W32" s="12">
        <f>N32*R32+O32*S32+P32*T32+Q32*U32</f>
        <v/>
      </c>
      <c r="X32" s="12">
        <f>W32*V32</f>
        <v/>
      </c>
      <c r="Y32" s="12">
        <f>L32*1000*X32*86400</f>
        <v/>
      </c>
      <c r="Z32" s="12">
        <f>Y32*365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'02_GPU_Mix_Input'!D33</f>
        <v/>
      </c>
      <c r="O33" s="10">
        <f>'02_GPU_Mix_Input'!E33</f>
        <v/>
      </c>
      <c r="P33" s="10">
        <f>'02_GPU_Mix_Input'!F33</f>
        <v/>
      </c>
      <c r="Q33" s="10">
        <f>'02_GPU_Mix_Input'!G33</f>
        <v/>
      </c>
      <c r="R33" s="12">
        <f>INDEX('01_Benchmark_Input'!$D$2:$D$10,MATCH(B33,'01_Benchmark_Input'!$A$2:$A$10,0))</f>
        <v/>
      </c>
      <c r="S33" s="12">
        <f>INDEX('01_Benchmark_Input'!$F$2:$F$10,MATCH(B33,'01_Benchmark_Input'!$A$2:$A$10,0))</f>
        <v/>
      </c>
      <c r="T33" s="12">
        <f>INDEX('01_Benchmark_Input'!$H$2:$H$10,MATCH(B33,'01_Benchmark_Input'!$A$2:$A$10,0))</f>
        <v/>
      </c>
      <c r="U33" s="12">
        <f>INDEX('01_Benchmark_Input'!$J$2:$J$10,MATCH(B33,'01_Benchmark_Input'!$A$2:$A$10,0))</f>
        <v/>
      </c>
      <c r="V33" s="10">
        <f>'02_Inputs'!K33</f>
        <v/>
      </c>
      <c r="W33" s="12">
        <f>N33*R33+O33*S33+P33*T33+Q33*U33</f>
        <v/>
      </c>
      <c r="X33" s="12">
        <f>W33*V33</f>
        <v/>
      </c>
      <c r="Y33" s="12">
        <f>L33*1000*X33*86400</f>
        <v/>
      </c>
      <c r="Z33" s="12">
        <f>Y33*365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'02_GPU_Mix_Input'!D34</f>
        <v/>
      </c>
      <c r="O34" s="10">
        <f>'02_GPU_Mix_Input'!E34</f>
        <v/>
      </c>
      <c r="P34" s="10">
        <f>'02_GPU_Mix_Input'!F34</f>
        <v/>
      </c>
      <c r="Q34" s="10">
        <f>'02_GPU_Mix_Input'!G34</f>
        <v/>
      </c>
      <c r="R34" s="12">
        <f>INDEX('01_Benchmark_Input'!$D$2:$D$10,MATCH(B34,'01_Benchmark_Input'!$A$2:$A$10,0))</f>
        <v/>
      </c>
      <c r="S34" s="12">
        <f>INDEX('01_Benchmark_Input'!$F$2:$F$10,MATCH(B34,'01_Benchmark_Input'!$A$2:$A$10,0))</f>
        <v/>
      </c>
      <c r="T34" s="12">
        <f>INDEX('01_Benchmark_Input'!$H$2:$H$10,MATCH(B34,'01_Benchmark_Input'!$A$2:$A$10,0))</f>
        <v/>
      </c>
      <c r="U34" s="12">
        <f>INDEX('01_Benchmark_Input'!$J$2:$J$10,MATCH(B34,'01_Benchmark_Input'!$A$2:$A$10,0))</f>
        <v/>
      </c>
      <c r="V34" s="10">
        <f>'02_Inputs'!K34</f>
        <v/>
      </c>
      <c r="W34" s="12">
        <f>N34*R34+O34*S34+P34*T34+Q34*U34</f>
        <v/>
      </c>
      <c r="X34" s="12">
        <f>W34*V34</f>
        <v/>
      </c>
      <c r="Y34" s="12">
        <f>L34*1000*X34*86400</f>
        <v/>
      </c>
      <c r="Z34" s="12">
        <f>Y34*365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'02_GPU_Mix_Input'!D35</f>
        <v/>
      </c>
      <c r="O35" s="10">
        <f>'02_GPU_Mix_Input'!E35</f>
        <v/>
      </c>
      <c r="P35" s="10">
        <f>'02_GPU_Mix_Input'!F35</f>
        <v/>
      </c>
      <c r="Q35" s="10">
        <f>'02_GPU_Mix_Input'!G35</f>
        <v/>
      </c>
      <c r="R35" s="12">
        <f>INDEX('01_Benchmark_Input'!$D$2:$D$10,MATCH(B35,'01_Benchmark_Input'!$A$2:$A$10,0))</f>
        <v/>
      </c>
      <c r="S35" s="12">
        <f>INDEX('01_Benchmark_Input'!$F$2:$F$10,MATCH(B35,'01_Benchmark_Input'!$A$2:$A$10,0))</f>
        <v/>
      </c>
      <c r="T35" s="12">
        <f>INDEX('01_Benchmark_Input'!$H$2:$H$10,MATCH(B35,'01_Benchmark_Input'!$A$2:$A$10,0))</f>
        <v/>
      </c>
      <c r="U35" s="12">
        <f>INDEX('01_Benchmark_Input'!$J$2:$J$10,MATCH(B35,'01_Benchmark_Input'!$A$2:$A$10,0))</f>
        <v/>
      </c>
      <c r="V35" s="10">
        <f>'02_Inputs'!K35</f>
        <v/>
      </c>
      <c r="W35" s="12">
        <f>N35*R35+O35*S35+P35*T35+Q35*U35</f>
        <v/>
      </c>
      <c r="X35" s="12">
        <f>W35*V35</f>
        <v/>
      </c>
      <c r="Y35" s="12">
        <f>L35*1000*X35*86400</f>
        <v/>
      </c>
      <c r="Z35" s="12">
        <f>Y35*365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'02_GPU_Mix_Input'!D36</f>
        <v/>
      </c>
      <c r="O36" s="10">
        <f>'02_GPU_Mix_Input'!E36</f>
        <v/>
      </c>
      <c r="P36" s="10">
        <f>'02_GPU_Mix_Input'!F36</f>
        <v/>
      </c>
      <c r="Q36" s="10">
        <f>'02_GPU_Mix_Input'!G36</f>
        <v/>
      </c>
      <c r="R36" s="12">
        <f>INDEX('01_Benchmark_Input'!$D$2:$D$10,MATCH(B36,'01_Benchmark_Input'!$A$2:$A$10,0))</f>
        <v/>
      </c>
      <c r="S36" s="12">
        <f>INDEX('01_Benchmark_Input'!$F$2:$F$10,MATCH(B36,'01_Benchmark_Input'!$A$2:$A$10,0))</f>
        <v/>
      </c>
      <c r="T36" s="12">
        <f>INDEX('01_Benchmark_Input'!$H$2:$H$10,MATCH(B36,'01_Benchmark_Input'!$A$2:$A$10,0))</f>
        <v/>
      </c>
      <c r="U36" s="12">
        <f>INDEX('01_Benchmark_Input'!$J$2:$J$10,MATCH(B36,'01_Benchmark_Input'!$A$2:$A$10,0))</f>
        <v/>
      </c>
      <c r="V36" s="10">
        <f>'02_Inputs'!K36</f>
        <v/>
      </c>
      <c r="W36" s="12">
        <f>N36*R36+O36*S36+P36*T36+Q36*U36</f>
        <v/>
      </c>
      <c r="X36" s="12">
        <f>W36*V36</f>
        <v/>
      </c>
      <c r="Y36" s="12">
        <f>L36*1000*X36*86400</f>
        <v/>
      </c>
      <c r="Z36" s="12">
        <f>Y36*365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'02_GPU_Mix_Input'!D37</f>
        <v/>
      </c>
      <c r="O37" s="10">
        <f>'02_GPU_Mix_Input'!E37</f>
        <v/>
      </c>
      <c r="P37" s="10">
        <f>'02_GPU_Mix_Input'!F37</f>
        <v/>
      </c>
      <c r="Q37" s="10">
        <f>'02_GPU_Mix_Input'!G37</f>
        <v/>
      </c>
      <c r="R37" s="12">
        <f>INDEX('01_Benchmark_Input'!$D$2:$D$10,MATCH(B37,'01_Benchmark_Input'!$A$2:$A$10,0))</f>
        <v/>
      </c>
      <c r="S37" s="12">
        <f>INDEX('01_Benchmark_Input'!$F$2:$F$10,MATCH(B37,'01_Benchmark_Input'!$A$2:$A$10,0))</f>
        <v/>
      </c>
      <c r="T37" s="12">
        <f>INDEX('01_Benchmark_Input'!$H$2:$H$10,MATCH(B37,'01_Benchmark_Input'!$A$2:$A$10,0))</f>
        <v/>
      </c>
      <c r="U37" s="12">
        <f>INDEX('01_Benchmark_Input'!$J$2:$J$10,MATCH(B37,'01_Benchmark_Input'!$A$2:$A$10,0))</f>
        <v/>
      </c>
      <c r="V37" s="10">
        <f>'02_Inputs'!K37</f>
        <v/>
      </c>
      <c r="W37" s="12">
        <f>N37*R37+O37*S37+P37*T37+Q37*U37</f>
        <v/>
      </c>
      <c r="X37" s="12">
        <f>W37*V37</f>
        <v/>
      </c>
      <c r="Y37" s="12">
        <f>L37*1000*X37*86400</f>
        <v/>
      </c>
      <c r="Z37" s="12">
        <f>Y37*365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'02_GPU_Mix_Input'!D38</f>
        <v/>
      </c>
      <c r="O38" s="10">
        <f>'02_GPU_Mix_Input'!E38</f>
        <v/>
      </c>
      <c r="P38" s="10">
        <f>'02_GPU_Mix_Input'!F38</f>
        <v/>
      </c>
      <c r="Q38" s="10">
        <f>'02_GPU_Mix_Input'!G38</f>
        <v/>
      </c>
      <c r="R38" s="12">
        <f>INDEX('01_Benchmark_Input'!$D$2:$D$10,MATCH(B38,'01_Benchmark_Input'!$A$2:$A$10,0))</f>
        <v/>
      </c>
      <c r="S38" s="12">
        <f>INDEX('01_Benchmark_Input'!$F$2:$F$10,MATCH(B38,'01_Benchmark_Input'!$A$2:$A$10,0))</f>
        <v/>
      </c>
      <c r="T38" s="12">
        <f>INDEX('01_Benchmark_Input'!$H$2:$H$10,MATCH(B38,'01_Benchmark_Input'!$A$2:$A$10,0))</f>
        <v/>
      </c>
      <c r="U38" s="12">
        <f>INDEX('01_Benchmark_Input'!$J$2:$J$10,MATCH(B38,'01_Benchmark_Input'!$A$2:$A$10,0))</f>
        <v/>
      </c>
      <c r="V38" s="10">
        <f>'02_Inputs'!K38</f>
        <v/>
      </c>
      <c r="W38" s="12">
        <f>N38*R38+O38*S38+P38*T38+Q38*U38</f>
        <v/>
      </c>
      <c r="X38" s="12">
        <f>W38*V38</f>
        <v/>
      </c>
      <c r="Y38" s="12">
        <f>L38*1000*X38*86400</f>
        <v/>
      </c>
      <c r="Z38" s="12">
        <f>Y38*365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'02_GPU_Mix_Input'!D39</f>
        <v/>
      </c>
      <c r="O39" s="10">
        <f>'02_GPU_Mix_Input'!E39</f>
        <v/>
      </c>
      <c r="P39" s="10">
        <f>'02_GPU_Mix_Input'!F39</f>
        <v/>
      </c>
      <c r="Q39" s="10">
        <f>'02_GPU_Mix_Input'!G39</f>
        <v/>
      </c>
      <c r="R39" s="12">
        <f>INDEX('01_Benchmark_Input'!$D$2:$D$10,MATCH(B39,'01_Benchmark_Input'!$A$2:$A$10,0))</f>
        <v/>
      </c>
      <c r="S39" s="12">
        <f>INDEX('01_Benchmark_Input'!$F$2:$F$10,MATCH(B39,'01_Benchmark_Input'!$A$2:$A$10,0))</f>
        <v/>
      </c>
      <c r="T39" s="12">
        <f>INDEX('01_Benchmark_Input'!$H$2:$H$10,MATCH(B39,'01_Benchmark_Input'!$A$2:$A$10,0))</f>
        <v/>
      </c>
      <c r="U39" s="12">
        <f>INDEX('01_Benchmark_Input'!$J$2:$J$10,MATCH(B39,'01_Benchmark_Input'!$A$2:$A$10,0))</f>
        <v/>
      </c>
      <c r="V39" s="10">
        <f>'02_Inputs'!K39</f>
        <v/>
      </c>
      <c r="W39" s="12">
        <f>N39*R39+O39*S39+P39*T39+Q39*U39</f>
        <v/>
      </c>
      <c r="X39" s="12">
        <f>W39*V39</f>
        <v/>
      </c>
      <c r="Y39" s="12">
        <f>L39*1000*X39*86400</f>
        <v/>
      </c>
      <c r="Z39" s="12">
        <f>Y39*365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'02_GPU_Mix_Input'!D40</f>
        <v/>
      </c>
      <c r="O40" s="10">
        <f>'02_GPU_Mix_Input'!E40</f>
        <v/>
      </c>
      <c r="P40" s="10">
        <f>'02_GPU_Mix_Input'!F40</f>
        <v/>
      </c>
      <c r="Q40" s="10">
        <f>'02_GPU_Mix_Input'!G40</f>
        <v/>
      </c>
      <c r="R40" s="12">
        <f>INDEX('01_Benchmark_Input'!$D$2:$D$10,MATCH(B40,'01_Benchmark_Input'!$A$2:$A$10,0))</f>
        <v/>
      </c>
      <c r="S40" s="12">
        <f>INDEX('01_Benchmark_Input'!$F$2:$F$10,MATCH(B40,'01_Benchmark_Input'!$A$2:$A$10,0))</f>
        <v/>
      </c>
      <c r="T40" s="12">
        <f>INDEX('01_Benchmark_Input'!$H$2:$H$10,MATCH(B40,'01_Benchmark_Input'!$A$2:$A$10,0))</f>
        <v/>
      </c>
      <c r="U40" s="12">
        <f>INDEX('01_Benchmark_Input'!$J$2:$J$10,MATCH(B40,'01_Benchmark_Input'!$A$2:$A$10,0))</f>
        <v/>
      </c>
      <c r="V40" s="10">
        <f>'02_Inputs'!K40</f>
        <v/>
      </c>
      <c r="W40" s="12">
        <f>N40*R40+O40*S40+P40*T40+Q40*U40</f>
        <v/>
      </c>
      <c r="X40" s="12">
        <f>W40*V40</f>
        <v/>
      </c>
      <c r="Y40" s="12">
        <f>L40*1000*X40*86400</f>
        <v/>
      </c>
      <c r="Z40" s="12">
        <f>Y40*365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'02_GPU_Mix_Input'!D41</f>
        <v/>
      </c>
      <c r="O41" s="10">
        <f>'02_GPU_Mix_Input'!E41</f>
        <v/>
      </c>
      <c r="P41" s="10">
        <f>'02_GPU_Mix_Input'!F41</f>
        <v/>
      </c>
      <c r="Q41" s="10">
        <f>'02_GPU_Mix_Input'!G41</f>
        <v/>
      </c>
      <c r="R41" s="12">
        <f>INDEX('01_Benchmark_Input'!$D$2:$D$10,MATCH(B41,'01_Benchmark_Input'!$A$2:$A$10,0))</f>
        <v/>
      </c>
      <c r="S41" s="12">
        <f>INDEX('01_Benchmark_Input'!$F$2:$F$10,MATCH(B41,'01_Benchmark_Input'!$A$2:$A$10,0))</f>
        <v/>
      </c>
      <c r="T41" s="12">
        <f>INDEX('01_Benchmark_Input'!$H$2:$H$10,MATCH(B41,'01_Benchmark_Input'!$A$2:$A$10,0))</f>
        <v/>
      </c>
      <c r="U41" s="12">
        <f>INDEX('01_Benchmark_Input'!$J$2:$J$10,MATCH(B41,'01_Benchmark_Input'!$A$2:$A$10,0))</f>
        <v/>
      </c>
      <c r="V41" s="10">
        <f>'02_Inputs'!K41</f>
        <v/>
      </c>
      <c r="W41" s="12">
        <f>N41*R41+O41*S41+P41*T41+Q41*U41</f>
        <v/>
      </c>
      <c r="X41" s="12">
        <f>W41*V41</f>
        <v/>
      </c>
      <c r="Y41" s="12">
        <f>L41*1000*X41*86400</f>
        <v/>
      </c>
      <c r="Z41" s="12">
        <f>Y41*365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'02_GPU_Mix_Input'!D42</f>
        <v/>
      </c>
      <c r="O42" s="10">
        <f>'02_GPU_Mix_Input'!E42</f>
        <v/>
      </c>
      <c r="P42" s="10">
        <f>'02_GPU_Mix_Input'!F42</f>
        <v/>
      </c>
      <c r="Q42" s="10">
        <f>'02_GPU_Mix_Input'!G42</f>
        <v/>
      </c>
      <c r="R42" s="12">
        <f>INDEX('01_Benchmark_Input'!$D$2:$D$10,MATCH(B42,'01_Benchmark_Input'!$A$2:$A$10,0))</f>
        <v/>
      </c>
      <c r="S42" s="12">
        <f>INDEX('01_Benchmark_Input'!$F$2:$F$10,MATCH(B42,'01_Benchmark_Input'!$A$2:$A$10,0))</f>
        <v/>
      </c>
      <c r="T42" s="12">
        <f>INDEX('01_Benchmark_Input'!$H$2:$H$10,MATCH(B42,'01_Benchmark_Input'!$A$2:$A$10,0))</f>
        <v/>
      </c>
      <c r="U42" s="12">
        <f>INDEX('01_Benchmark_Input'!$J$2:$J$10,MATCH(B42,'01_Benchmark_Input'!$A$2:$A$10,0))</f>
        <v/>
      </c>
      <c r="V42" s="10">
        <f>'02_Inputs'!K42</f>
        <v/>
      </c>
      <c r="W42" s="12">
        <f>N42*R42+O42*S42+P42*T42+Q42*U42</f>
        <v/>
      </c>
      <c r="X42" s="12">
        <f>W42*V42</f>
        <v/>
      </c>
      <c r="Y42" s="12">
        <f>L42*1000*X42*86400</f>
        <v/>
      </c>
      <c r="Z42" s="12">
        <f>Y42*365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'02_GPU_Mix_Input'!D43</f>
        <v/>
      </c>
      <c r="O43" s="10">
        <f>'02_GPU_Mix_Input'!E43</f>
        <v/>
      </c>
      <c r="P43" s="10">
        <f>'02_GPU_Mix_Input'!F43</f>
        <v/>
      </c>
      <c r="Q43" s="10">
        <f>'02_GPU_Mix_Input'!G43</f>
        <v/>
      </c>
      <c r="R43" s="12">
        <f>INDEX('01_Benchmark_Input'!$D$2:$D$10,MATCH(B43,'01_Benchmark_Input'!$A$2:$A$10,0))</f>
        <v/>
      </c>
      <c r="S43" s="12">
        <f>INDEX('01_Benchmark_Input'!$F$2:$F$10,MATCH(B43,'01_Benchmark_Input'!$A$2:$A$10,0))</f>
        <v/>
      </c>
      <c r="T43" s="12">
        <f>INDEX('01_Benchmark_Input'!$H$2:$H$10,MATCH(B43,'01_Benchmark_Input'!$A$2:$A$10,0))</f>
        <v/>
      </c>
      <c r="U43" s="12">
        <f>INDEX('01_Benchmark_Input'!$J$2:$J$10,MATCH(B43,'01_Benchmark_Input'!$A$2:$A$10,0))</f>
        <v/>
      </c>
      <c r="V43" s="10">
        <f>'02_Inputs'!K43</f>
        <v/>
      </c>
      <c r="W43" s="12">
        <f>N43*R43+O43*S43+P43*T43+Q43*U43</f>
        <v/>
      </c>
      <c r="X43" s="12">
        <f>W43*V43</f>
        <v/>
      </c>
      <c r="Y43" s="12">
        <f>L43*1000*X43*86400</f>
        <v/>
      </c>
      <c r="Z43" s="12">
        <f>Y43*365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'02_GPU_Mix_Input'!D44</f>
        <v/>
      </c>
      <c r="O44" s="10">
        <f>'02_GPU_Mix_Input'!E44</f>
        <v/>
      </c>
      <c r="P44" s="10">
        <f>'02_GPU_Mix_Input'!F44</f>
        <v/>
      </c>
      <c r="Q44" s="10">
        <f>'02_GPU_Mix_Input'!G44</f>
        <v/>
      </c>
      <c r="R44" s="12">
        <f>INDEX('01_Benchmark_Input'!$D$2:$D$10,MATCH(B44,'01_Benchmark_Input'!$A$2:$A$10,0))</f>
        <v/>
      </c>
      <c r="S44" s="12">
        <f>INDEX('01_Benchmark_Input'!$F$2:$F$10,MATCH(B44,'01_Benchmark_Input'!$A$2:$A$10,0))</f>
        <v/>
      </c>
      <c r="T44" s="12">
        <f>INDEX('01_Benchmark_Input'!$H$2:$H$10,MATCH(B44,'01_Benchmark_Input'!$A$2:$A$10,0))</f>
        <v/>
      </c>
      <c r="U44" s="12">
        <f>INDEX('01_Benchmark_Input'!$J$2:$J$10,MATCH(B44,'01_Benchmark_Input'!$A$2:$A$10,0))</f>
        <v/>
      </c>
      <c r="V44" s="10">
        <f>'02_Inputs'!K44</f>
        <v/>
      </c>
      <c r="W44" s="12">
        <f>N44*R44+O44*S44+P44*T44+Q44*U44</f>
        <v/>
      </c>
      <c r="X44" s="12">
        <f>W44*V44</f>
        <v/>
      </c>
      <c r="Y44" s="12">
        <f>L44*1000*X44*86400</f>
        <v/>
      </c>
      <c r="Z44" s="12">
        <f>Y44*365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'02_GPU_Mix_Input'!D45</f>
        <v/>
      </c>
      <c r="O45" s="10">
        <f>'02_GPU_Mix_Input'!E45</f>
        <v/>
      </c>
      <c r="P45" s="10">
        <f>'02_GPU_Mix_Input'!F45</f>
        <v/>
      </c>
      <c r="Q45" s="10">
        <f>'02_GPU_Mix_Input'!G45</f>
        <v/>
      </c>
      <c r="R45" s="12">
        <f>INDEX('01_Benchmark_Input'!$D$2:$D$10,MATCH(B45,'01_Benchmark_Input'!$A$2:$A$10,0))</f>
        <v/>
      </c>
      <c r="S45" s="12">
        <f>INDEX('01_Benchmark_Input'!$F$2:$F$10,MATCH(B45,'01_Benchmark_Input'!$A$2:$A$10,0))</f>
        <v/>
      </c>
      <c r="T45" s="12">
        <f>INDEX('01_Benchmark_Input'!$H$2:$H$10,MATCH(B45,'01_Benchmark_Input'!$A$2:$A$10,0))</f>
        <v/>
      </c>
      <c r="U45" s="12">
        <f>INDEX('01_Benchmark_Input'!$J$2:$J$10,MATCH(B45,'01_Benchmark_Input'!$A$2:$A$10,0))</f>
        <v/>
      </c>
      <c r="V45" s="10">
        <f>'02_Inputs'!K45</f>
        <v/>
      </c>
      <c r="W45" s="12">
        <f>N45*R45+O45*S45+P45*T45+Q45*U45</f>
        <v/>
      </c>
      <c r="X45" s="12">
        <f>W45*V45</f>
        <v/>
      </c>
      <c r="Y45" s="12">
        <f>L45*1000*X45*86400</f>
        <v/>
      </c>
      <c r="Z45" s="12">
        <f>Y45*365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'02_GPU_Mix_Input'!D46</f>
        <v/>
      </c>
      <c r="O46" s="10">
        <f>'02_GPU_Mix_Input'!E46</f>
        <v/>
      </c>
      <c r="P46" s="10">
        <f>'02_GPU_Mix_Input'!F46</f>
        <v/>
      </c>
      <c r="Q46" s="10">
        <f>'02_GPU_Mix_Input'!G46</f>
        <v/>
      </c>
      <c r="R46" s="12">
        <f>INDEX('01_Benchmark_Input'!$D$2:$D$10,MATCH(B46,'01_Benchmark_Input'!$A$2:$A$10,0))</f>
        <v/>
      </c>
      <c r="S46" s="12">
        <f>INDEX('01_Benchmark_Input'!$F$2:$F$10,MATCH(B46,'01_Benchmark_Input'!$A$2:$A$10,0))</f>
        <v/>
      </c>
      <c r="T46" s="12">
        <f>INDEX('01_Benchmark_Input'!$H$2:$H$10,MATCH(B46,'01_Benchmark_Input'!$A$2:$A$10,0))</f>
        <v/>
      </c>
      <c r="U46" s="12">
        <f>INDEX('01_Benchmark_Input'!$J$2:$J$10,MATCH(B46,'01_Benchmark_Input'!$A$2:$A$10,0))</f>
        <v/>
      </c>
      <c r="V46" s="10">
        <f>'02_Inputs'!K46</f>
        <v/>
      </c>
      <c r="W46" s="12">
        <f>N46*R46+O46*S46+P46*T46+Q46*U46</f>
        <v/>
      </c>
      <c r="X46" s="12">
        <f>W46*V46</f>
        <v/>
      </c>
      <c r="Y46" s="12">
        <f>L46*1000*X46*86400</f>
        <v/>
      </c>
      <c r="Z46" s="12">
        <f>Y46*365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'02_GPU_Mix_Input'!D47</f>
        <v/>
      </c>
      <c r="O47" s="10">
        <f>'02_GPU_Mix_Input'!E47</f>
        <v/>
      </c>
      <c r="P47" s="10">
        <f>'02_GPU_Mix_Input'!F47</f>
        <v/>
      </c>
      <c r="Q47" s="10">
        <f>'02_GPU_Mix_Input'!G47</f>
        <v/>
      </c>
      <c r="R47" s="12">
        <f>INDEX('01_Benchmark_Input'!$D$2:$D$10,MATCH(B47,'01_Benchmark_Input'!$A$2:$A$10,0))</f>
        <v/>
      </c>
      <c r="S47" s="12">
        <f>INDEX('01_Benchmark_Input'!$F$2:$F$10,MATCH(B47,'01_Benchmark_Input'!$A$2:$A$10,0))</f>
        <v/>
      </c>
      <c r="T47" s="12">
        <f>INDEX('01_Benchmark_Input'!$H$2:$H$10,MATCH(B47,'01_Benchmark_Input'!$A$2:$A$10,0))</f>
        <v/>
      </c>
      <c r="U47" s="12">
        <f>INDEX('01_Benchmark_Input'!$J$2:$J$10,MATCH(B47,'01_Benchmark_Input'!$A$2:$A$10,0))</f>
        <v/>
      </c>
      <c r="V47" s="10">
        <f>'02_Inputs'!K47</f>
        <v/>
      </c>
      <c r="W47" s="12">
        <f>N47*R47+O47*S47+P47*T47+Q47*U47</f>
        <v/>
      </c>
      <c r="X47" s="12">
        <f>W47*V47</f>
        <v/>
      </c>
      <c r="Y47" s="12">
        <f>L47*1000*X47*86400</f>
        <v/>
      </c>
      <c r="Z47" s="12">
        <f>Y47*365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'02_GPU_Mix_Input'!D48</f>
        <v/>
      </c>
      <c r="O48" s="10">
        <f>'02_GPU_Mix_Input'!E48</f>
        <v/>
      </c>
      <c r="P48" s="10">
        <f>'02_GPU_Mix_Input'!F48</f>
        <v/>
      </c>
      <c r="Q48" s="10">
        <f>'02_GPU_Mix_Input'!G48</f>
        <v/>
      </c>
      <c r="R48" s="12">
        <f>INDEX('01_Benchmark_Input'!$D$2:$D$10,MATCH(B48,'01_Benchmark_Input'!$A$2:$A$10,0))</f>
        <v/>
      </c>
      <c r="S48" s="12">
        <f>INDEX('01_Benchmark_Input'!$F$2:$F$10,MATCH(B48,'01_Benchmark_Input'!$A$2:$A$10,0))</f>
        <v/>
      </c>
      <c r="T48" s="12">
        <f>INDEX('01_Benchmark_Input'!$H$2:$H$10,MATCH(B48,'01_Benchmark_Input'!$A$2:$A$10,0))</f>
        <v/>
      </c>
      <c r="U48" s="12">
        <f>INDEX('01_Benchmark_Input'!$J$2:$J$10,MATCH(B48,'01_Benchmark_Input'!$A$2:$A$10,0))</f>
        <v/>
      </c>
      <c r="V48" s="10">
        <f>'02_Inputs'!K48</f>
        <v/>
      </c>
      <c r="W48" s="12">
        <f>N48*R48+O48*S48+P48*T48+Q48*U48</f>
        <v/>
      </c>
      <c r="X48" s="12">
        <f>W48*V48</f>
        <v/>
      </c>
      <c r="Y48" s="12">
        <f>L48*1000*X48*86400</f>
        <v/>
      </c>
      <c r="Z48" s="12">
        <f>Y48*365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'02_GPU_Mix_Input'!D49</f>
        <v/>
      </c>
      <c r="O49" s="10">
        <f>'02_GPU_Mix_Input'!E49</f>
        <v/>
      </c>
      <c r="P49" s="10">
        <f>'02_GPU_Mix_Input'!F49</f>
        <v/>
      </c>
      <c r="Q49" s="10">
        <f>'02_GPU_Mix_Input'!G49</f>
        <v/>
      </c>
      <c r="R49" s="12">
        <f>INDEX('01_Benchmark_Input'!$D$2:$D$10,MATCH(B49,'01_Benchmark_Input'!$A$2:$A$10,0))</f>
        <v/>
      </c>
      <c r="S49" s="12">
        <f>INDEX('01_Benchmark_Input'!$F$2:$F$10,MATCH(B49,'01_Benchmark_Input'!$A$2:$A$10,0))</f>
        <v/>
      </c>
      <c r="T49" s="12">
        <f>INDEX('01_Benchmark_Input'!$H$2:$H$10,MATCH(B49,'01_Benchmark_Input'!$A$2:$A$10,0))</f>
        <v/>
      </c>
      <c r="U49" s="12">
        <f>INDEX('01_Benchmark_Input'!$J$2:$J$10,MATCH(B49,'01_Benchmark_Input'!$A$2:$A$10,0))</f>
        <v/>
      </c>
      <c r="V49" s="10">
        <f>'02_Inputs'!K49</f>
        <v/>
      </c>
      <c r="W49" s="12">
        <f>N49*R49+O49*S49+P49*T49+Q49*U49</f>
        <v/>
      </c>
      <c r="X49" s="12">
        <f>W49*V49</f>
        <v/>
      </c>
      <c r="Y49" s="12">
        <f>L49*1000*X49*86400</f>
        <v/>
      </c>
      <c r="Z49" s="12">
        <f>Y49*365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'02_GPU_Mix_Input'!D50</f>
        <v/>
      </c>
      <c r="O50" s="10">
        <f>'02_GPU_Mix_Input'!E50</f>
        <v/>
      </c>
      <c r="P50" s="10">
        <f>'02_GPU_Mix_Input'!F50</f>
        <v/>
      </c>
      <c r="Q50" s="10">
        <f>'02_GPU_Mix_Input'!G50</f>
        <v/>
      </c>
      <c r="R50" s="12">
        <f>INDEX('01_Benchmark_Input'!$D$2:$D$10,MATCH(B50,'01_Benchmark_Input'!$A$2:$A$10,0))</f>
        <v/>
      </c>
      <c r="S50" s="12">
        <f>INDEX('01_Benchmark_Input'!$F$2:$F$10,MATCH(B50,'01_Benchmark_Input'!$A$2:$A$10,0))</f>
        <v/>
      </c>
      <c r="T50" s="12">
        <f>INDEX('01_Benchmark_Input'!$H$2:$H$10,MATCH(B50,'01_Benchmark_Input'!$A$2:$A$10,0))</f>
        <v/>
      </c>
      <c r="U50" s="12">
        <f>INDEX('01_Benchmark_Input'!$J$2:$J$10,MATCH(B50,'01_Benchmark_Input'!$A$2:$A$10,0))</f>
        <v/>
      </c>
      <c r="V50" s="10">
        <f>'02_Inputs'!K50</f>
        <v/>
      </c>
      <c r="W50" s="12">
        <f>N50*R50+O50*S50+P50*T50+Q50*U50</f>
        <v/>
      </c>
      <c r="X50" s="12">
        <f>W50*V50</f>
        <v/>
      </c>
      <c r="Y50" s="12">
        <f>L50*1000*X50*86400</f>
        <v/>
      </c>
      <c r="Z50" s="12">
        <f>Y50*365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'02_GPU_Mix_Input'!D51</f>
        <v/>
      </c>
      <c r="O51" s="10">
        <f>'02_GPU_Mix_Input'!E51</f>
        <v/>
      </c>
      <c r="P51" s="10">
        <f>'02_GPU_Mix_Input'!F51</f>
        <v/>
      </c>
      <c r="Q51" s="10">
        <f>'02_GPU_Mix_Input'!G51</f>
        <v/>
      </c>
      <c r="R51" s="12">
        <f>INDEX('01_Benchmark_Input'!$D$2:$D$10,MATCH(B51,'01_Benchmark_Input'!$A$2:$A$10,0))</f>
        <v/>
      </c>
      <c r="S51" s="12">
        <f>INDEX('01_Benchmark_Input'!$F$2:$F$10,MATCH(B51,'01_Benchmark_Input'!$A$2:$A$10,0))</f>
        <v/>
      </c>
      <c r="T51" s="12">
        <f>INDEX('01_Benchmark_Input'!$H$2:$H$10,MATCH(B51,'01_Benchmark_Input'!$A$2:$A$10,0))</f>
        <v/>
      </c>
      <c r="U51" s="12">
        <f>INDEX('01_Benchmark_Input'!$J$2:$J$10,MATCH(B51,'01_Benchmark_Input'!$A$2:$A$10,0))</f>
        <v/>
      </c>
      <c r="V51" s="10">
        <f>'02_Inputs'!K51</f>
        <v/>
      </c>
      <c r="W51" s="12">
        <f>N51*R51+O51*S51+P51*T51+Q51*U51</f>
        <v/>
      </c>
      <c r="X51" s="12">
        <f>W51*V51</f>
        <v/>
      </c>
      <c r="Y51" s="12">
        <f>L51*1000*X51*86400</f>
        <v/>
      </c>
      <c r="Z51" s="12">
        <f>Y51*365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'02_GPU_Mix_Input'!D52</f>
        <v/>
      </c>
      <c r="O52" s="10">
        <f>'02_GPU_Mix_Input'!E52</f>
        <v/>
      </c>
      <c r="P52" s="10">
        <f>'02_GPU_Mix_Input'!F52</f>
        <v/>
      </c>
      <c r="Q52" s="10">
        <f>'02_GPU_Mix_Input'!G52</f>
        <v/>
      </c>
      <c r="R52" s="12">
        <f>INDEX('01_Benchmark_Input'!$D$2:$D$10,MATCH(B52,'01_Benchmark_Input'!$A$2:$A$10,0))</f>
        <v/>
      </c>
      <c r="S52" s="12">
        <f>INDEX('01_Benchmark_Input'!$F$2:$F$10,MATCH(B52,'01_Benchmark_Input'!$A$2:$A$10,0))</f>
        <v/>
      </c>
      <c r="T52" s="12">
        <f>INDEX('01_Benchmark_Input'!$H$2:$H$10,MATCH(B52,'01_Benchmark_Input'!$A$2:$A$10,0))</f>
        <v/>
      </c>
      <c r="U52" s="12">
        <f>INDEX('01_Benchmark_Input'!$J$2:$J$10,MATCH(B52,'01_Benchmark_Input'!$A$2:$A$10,0))</f>
        <v/>
      </c>
      <c r="V52" s="10">
        <f>'02_Inputs'!K52</f>
        <v/>
      </c>
      <c r="W52" s="12">
        <f>N52*R52+O52*S52+P52*T52+Q52*U52</f>
        <v/>
      </c>
      <c r="X52" s="12">
        <f>W52*V52</f>
        <v/>
      </c>
      <c r="Y52" s="12">
        <f>L52*1000*X52*86400</f>
        <v/>
      </c>
      <c r="Z52" s="12">
        <f>Y52*365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'02_GPU_Mix_Input'!D53</f>
        <v/>
      </c>
      <c r="O53" s="10">
        <f>'02_GPU_Mix_Input'!E53</f>
        <v/>
      </c>
      <c r="P53" s="10">
        <f>'02_GPU_Mix_Input'!F53</f>
        <v/>
      </c>
      <c r="Q53" s="10">
        <f>'02_GPU_Mix_Input'!G53</f>
        <v/>
      </c>
      <c r="R53" s="12">
        <f>INDEX('01_Benchmark_Input'!$D$2:$D$10,MATCH(B53,'01_Benchmark_Input'!$A$2:$A$10,0))</f>
        <v/>
      </c>
      <c r="S53" s="12">
        <f>INDEX('01_Benchmark_Input'!$F$2:$F$10,MATCH(B53,'01_Benchmark_Input'!$A$2:$A$10,0))</f>
        <v/>
      </c>
      <c r="T53" s="12">
        <f>INDEX('01_Benchmark_Input'!$H$2:$H$10,MATCH(B53,'01_Benchmark_Input'!$A$2:$A$10,0))</f>
        <v/>
      </c>
      <c r="U53" s="12">
        <f>INDEX('01_Benchmark_Input'!$J$2:$J$10,MATCH(B53,'01_Benchmark_Input'!$A$2:$A$10,0))</f>
        <v/>
      </c>
      <c r="V53" s="10">
        <f>'02_Inputs'!K53</f>
        <v/>
      </c>
      <c r="W53" s="12">
        <f>N53*R53+O53*S53+P53*T53+Q53*U53</f>
        <v/>
      </c>
      <c r="X53" s="12">
        <f>W53*V53</f>
        <v/>
      </c>
      <c r="Y53" s="12">
        <f>L53*1000*X53*86400</f>
        <v/>
      </c>
      <c r="Z53" s="12">
        <f>Y53*365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'02_GPU_Mix_Input'!D54</f>
        <v/>
      </c>
      <c r="O54" s="10">
        <f>'02_GPU_Mix_Input'!E54</f>
        <v/>
      </c>
      <c r="P54" s="10">
        <f>'02_GPU_Mix_Input'!F54</f>
        <v/>
      </c>
      <c r="Q54" s="10">
        <f>'02_GPU_Mix_Input'!G54</f>
        <v/>
      </c>
      <c r="R54" s="12">
        <f>INDEX('01_Benchmark_Input'!$D$2:$D$10,MATCH(B54,'01_Benchmark_Input'!$A$2:$A$10,0))</f>
        <v/>
      </c>
      <c r="S54" s="12">
        <f>INDEX('01_Benchmark_Input'!$F$2:$F$10,MATCH(B54,'01_Benchmark_Input'!$A$2:$A$10,0))</f>
        <v/>
      </c>
      <c r="T54" s="12">
        <f>INDEX('01_Benchmark_Input'!$H$2:$H$10,MATCH(B54,'01_Benchmark_Input'!$A$2:$A$10,0))</f>
        <v/>
      </c>
      <c r="U54" s="12">
        <f>INDEX('01_Benchmark_Input'!$J$2:$J$10,MATCH(B54,'01_Benchmark_Input'!$A$2:$A$10,0))</f>
        <v/>
      </c>
      <c r="V54" s="10">
        <f>'02_Inputs'!K54</f>
        <v/>
      </c>
      <c r="W54" s="12">
        <f>N54*R54+O54*S54+P54*T54+Q54*U54</f>
        <v/>
      </c>
      <c r="X54" s="12">
        <f>W54*V54</f>
        <v/>
      </c>
      <c r="Y54" s="12">
        <f>L54*1000*X54*86400</f>
        <v/>
      </c>
      <c r="Z54" s="12">
        <f>Y54*365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'02_GPU_Mix_Input'!D55</f>
        <v/>
      </c>
      <c r="O55" s="10">
        <f>'02_GPU_Mix_Input'!E55</f>
        <v/>
      </c>
      <c r="P55" s="10">
        <f>'02_GPU_Mix_Input'!F55</f>
        <v/>
      </c>
      <c r="Q55" s="10">
        <f>'02_GPU_Mix_Input'!G55</f>
        <v/>
      </c>
      <c r="R55" s="12">
        <f>INDEX('01_Benchmark_Input'!$D$2:$D$10,MATCH(B55,'01_Benchmark_Input'!$A$2:$A$10,0))</f>
        <v/>
      </c>
      <c r="S55" s="12">
        <f>INDEX('01_Benchmark_Input'!$F$2:$F$10,MATCH(B55,'01_Benchmark_Input'!$A$2:$A$10,0))</f>
        <v/>
      </c>
      <c r="T55" s="12">
        <f>INDEX('01_Benchmark_Input'!$H$2:$H$10,MATCH(B55,'01_Benchmark_Input'!$A$2:$A$10,0))</f>
        <v/>
      </c>
      <c r="U55" s="12">
        <f>INDEX('01_Benchmark_Input'!$J$2:$J$10,MATCH(B55,'01_Benchmark_Input'!$A$2:$A$10,0))</f>
        <v/>
      </c>
      <c r="V55" s="10">
        <f>'02_Inputs'!K55</f>
        <v/>
      </c>
      <c r="W55" s="12">
        <f>N55*R55+O55*S55+P55*T55+Q55*U55</f>
        <v/>
      </c>
      <c r="X55" s="12">
        <f>W55*V55</f>
        <v/>
      </c>
      <c r="Y55" s="12">
        <f>L55*1000*X55*86400</f>
        <v/>
      </c>
      <c r="Z55" s="12">
        <f>Y55*365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'02_GPU_Mix_Input'!D56</f>
        <v/>
      </c>
      <c r="O56" s="10">
        <f>'02_GPU_Mix_Input'!E56</f>
        <v/>
      </c>
      <c r="P56" s="10">
        <f>'02_GPU_Mix_Input'!F56</f>
        <v/>
      </c>
      <c r="Q56" s="10">
        <f>'02_GPU_Mix_Input'!G56</f>
        <v/>
      </c>
      <c r="R56" s="12">
        <f>INDEX('01_Benchmark_Input'!$D$2:$D$10,MATCH(B56,'01_Benchmark_Input'!$A$2:$A$10,0))</f>
        <v/>
      </c>
      <c r="S56" s="12">
        <f>INDEX('01_Benchmark_Input'!$F$2:$F$10,MATCH(B56,'01_Benchmark_Input'!$A$2:$A$10,0))</f>
        <v/>
      </c>
      <c r="T56" s="12">
        <f>INDEX('01_Benchmark_Input'!$H$2:$H$10,MATCH(B56,'01_Benchmark_Input'!$A$2:$A$10,0))</f>
        <v/>
      </c>
      <c r="U56" s="12">
        <f>INDEX('01_Benchmark_Input'!$J$2:$J$10,MATCH(B56,'01_Benchmark_Input'!$A$2:$A$10,0))</f>
        <v/>
      </c>
      <c r="V56" s="10">
        <f>'02_Inputs'!K56</f>
        <v/>
      </c>
      <c r="W56" s="12">
        <f>N56*R56+O56*S56+P56*T56+Q56*U56</f>
        <v/>
      </c>
      <c r="X56" s="12">
        <f>W56*V56</f>
        <v/>
      </c>
      <c r="Y56" s="12">
        <f>L56*1000*X56*86400</f>
        <v/>
      </c>
      <c r="Z56" s="12">
        <f>Y56*365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'02_GPU_Mix_Input'!D57</f>
        <v/>
      </c>
      <c r="O57" s="10">
        <f>'02_GPU_Mix_Input'!E57</f>
        <v/>
      </c>
      <c r="P57" s="10">
        <f>'02_GPU_Mix_Input'!F57</f>
        <v/>
      </c>
      <c r="Q57" s="10">
        <f>'02_GPU_Mix_Input'!G57</f>
        <v/>
      </c>
      <c r="R57" s="12">
        <f>INDEX('01_Benchmark_Input'!$D$2:$D$10,MATCH(B57,'01_Benchmark_Input'!$A$2:$A$10,0))</f>
        <v/>
      </c>
      <c r="S57" s="12">
        <f>INDEX('01_Benchmark_Input'!$F$2:$F$10,MATCH(B57,'01_Benchmark_Input'!$A$2:$A$10,0))</f>
        <v/>
      </c>
      <c r="T57" s="12">
        <f>INDEX('01_Benchmark_Input'!$H$2:$H$10,MATCH(B57,'01_Benchmark_Input'!$A$2:$A$10,0))</f>
        <v/>
      </c>
      <c r="U57" s="12">
        <f>INDEX('01_Benchmark_Input'!$J$2:$J$10,MATCH(B57,'01_Benchmark_Input'!$A$2:$A$10,0))</f>
        <v/>
      </c>
      <c r="V57" s="10">
        <f>'02_Inputs'!K57</f>
        <v/>
      </c>
      <c r="W57" s="12">
        <f>N57*R57+O57*S57+P57*T57+Q57*U57</f>
        <v/>
      </c>
      <c r="X57" s="12">
        <f>W57*V57</f>
        <v/>
      </c>
      <c r="Y57" s="12">
        <f>L57*1000*X57*86400</f>
        <v/>
      </c>
      <c r="Z57" s="12">
        <f>Y57*365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'02_GPU_Mix_Input'!D58</f>
        <v/>
      </c>
      <c r="O58" s="10">
        <f>'02_GPU_Mix_Input'!E58</f>
        <v/>
      </c>
      <c r="P58" s="10">
        <f>'02_GPU_Mix_Input'!F58</f>
        <v/>
      </c>
      <c r="Q58" s="10">
        <f>'02_GPU_Mix_Input'!G58</f>
        <v/>
      </c>
      <c r="R58" s="12">
        <f>INDEX('01_Benchmark_Input'!$D$2:$D$10,MATCH(B58,'01_Benchmark_Input'!$A$2:$A$10,0))</f>
        <v/>
      </c>
      <c r="S58" s="12">
        <f>INDEX('01_Benchmark_Input'!$F$2:$F$10,MATCH(B58,'01_Benchmark_Input'!$A$2:$A$10,0))</f>
        <v/>
      </c>
      <c r="T58" s="12">
        <f>INDEX('01_Benchmark_Input'!$H$2:$H$10,MATCH(B58,'01_Benchmark_Input'!$A$2:$A$10,0))</f>
        <v/>
      </c>
      <c r="U58" s="12">
        <f>INDEX('01_Benchmark_Input'!$J$2:$J$10,MATCH(B58,'01_Benchmark_Input'!$A$2:$A$10,0))</f>
        <v/>
      </c>
      <c r="V58" s="10">
        <f>'02_Inputs'!K58</f>
        <v/>
      </c>
      <c r="W58" s="12">
        <f>N58*R58+O58*S58+P58*T58+Q58*U58</f>
        <v/>
      </c>
      <c r="X58" s="12">
        <f>W58*V58</f>
        <v/>
      </c>
      <c r="Y58" s="12">
        <f>L58*1000*X58*86400</f>
        <v/>
      </c>
      <c r="Z58" s="12">
        <f>Y58*365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'02_GPU_Mix_Input'!D59</f>
        <v/>
      </c>
      <c r="O59" s="10">
        <f>'02_GPU_Mix_Input'!E59</f>
        <v/>
      </c>
      <c r="P59" s="10">
        <f>'02_GPU_Mix_Input'!F59</f>
        <v/>
      </c>
      <c r="Q59" s="10">
        <f>'02_GPU_Mix_Input'!G59</f>
        <v/>
      </c>
      <c r="R59" s="12">
        <f>INDEX('01_Benchmark_Input'!$D$2:$D$10,MATCH(B59,'01_Benchmark_Input'!$A$2:$A$10,0))</f>
        <v/>
      </c>
      <c r="S59" s="12">
        <f>INDEX('01_Benchmark_Input'!$F$2:$F$10,MATCH(B59,'01_Benchmark_Input'!$A$2:$A$10,0))</f>
        <v/>
      </c>
      <c r="T59" s="12">
        <f>INDEX('01_Benchmark_Input'!$H$2:$H$10,MATCH(B59,'01_Benchmark_Input'!$A$2:$A$10,0))</f>
        <v/>
      </c>
      <c r="U59" s="12">
        <f>INDEX('01_Benchmark_Input'!$J$2:$J$10,MATCH(B59,'01_Benchmark_Input'!$A$2:$A$10,0))</f>
        <v/>
      </c>
      <c r="V59" s="10">
        <f>'02_Inputs'!K59</f>
        <v/>
      </c>
      <c r="W59" s="12">
        <f>N59*R59+O59*S59+P59*T59+Q59*U59</f>
        <v/>
      </c>
      <c r="X59" s="12">
        <f>W59*V59</f>
        <v/>
      </c>
      <c r="Y59" s="12">
        <f>L59*1000*X59*86400</f>
        <v/>
      </c>
      <c r="Z59" s="12">
        <f>Y59*365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'02_GPU_Mix_Input'!D60</f>
        <v/>
      </c>
      <c r="O60" s="10">
        <f>'02_GPU_Mix_Input'!E60</f>
        <v/>
      </c>
      <c r="P60" s="10">
        <f>'02_GPU_Mix_Input'!F60</f>
        <v/>
      </c>
      <c r="Q60" s="10">
        <f>'02_GPU_Mix_Input'!G60</f>
        <v/>
      </c>
      <c r="R60" s="12">
        <f>INDEX('01_Benchmark_Input'!$D$2:$D$10,MATCH(B60,'01_Benchmark_Input'!$A$2:$A$10,0))</f>
        <v/>
      </c>
      <c r="S60" s="12">
        <f>INDEX('01_Benchmark_Input'!$F$2:$F$10,MATCH(B60,'01_Benchmark_Input'!$A$2:$A$10,0))</f>
        <v/>
      </c>
      <c r="T60" s="12">
        <f>INDEX('01_Benchmark_Input'!$H$2:$H$10,MATCH(B60,'01_Benchmark_Input'!$A$2:$A$10,0))</f>
        <v/>
      </c>
      <c r="U60" s="12">
        <f>INDEX('01_Benchmark_Input'!$J$2:$J$10,MATCH(B60,'01_Benchmark_Input'!$A$2:$A$10,0))</f>
        <v/>
      </c>
      <c r="V60" s="10">
        <f>'02_Inputs'!K60</f>
        <v/>
      </c>
      <c r="W60" s="12">
        <f>N60*R60+O60*S60+P60*T60+Q60*U60</f>
        <v/>
      </c>
      <c r="X60" s="12">
        <f>W60*V60</f>
        <v/>
      </c>
      <c r="Y60" s="12">
        <f>L60*1000*X60*86400</f>
        <v/>
      </c>
      <c r="Z60" s="12">
        <f>Y60*365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'02_GPU_Mix_Input'!D61</f>
        <v/>
      </c>
      <c r="O61" s="10">
        <f>'02_GPU_Mix_Input'!E61</f>
        <v/>
      </c>
      <c r="P61" s="10">
        <f>'02_GPU_Mix_Input'!F61</f>
        <v/>
      </c>
      <c r="Q61" s="10">
        <f>'02_GPU_Mix_Input'!G61</f>
        <v/>
      </c>
      <c r="R61" s="12">
        <f>INDEX('01_Benchmark_Input'!$D$2:$D$10,MATCH(B61,'01_Benchmark_Input'!$A$2:$A$10,0))</f>
        <v/>
      </c>
      <c r="S61" s="12">
        <f>INDEX('01_Benchmark_Input'!$F$2:$F$10,MATCH(B61,'01_Benchmark_Input'!$A$2:$A$10,0))</f>
        <v/>
      </c>
      <c r="T61" s="12">
        <f>INDEX('01_Benchmark_Input'!$H$2:$H$10,MATCH(B61,'01_Benchmark_Input'!$A$2:$A$10,0))</f>
        <v/>
      </c>
      <c r="U61" s="12">
        <f>INDEX('01_Benchmark_Input'!$J$2:$J$10,MATCH(B61,'01_Benchmark_Input'!$A$2:$A$10,0))</f>
        <v/>
      </c>
      <c r="V61" s="10">
        <f>'02_Inputs'!K61</f>
        <v/>
      </c>
      <c r="W61" s="12">
        <f>N61*R61+O61*S61+P61*T61+Q61*U61</f>
        <v/>
      </c>
      <c r="X61" s="12">
        <f>W61*V61</f>
        <v/>
      </c>
      <c r="Y61" s="12">
        <f>L61*1000*X61*86400</f>
        <v/>
      </c>
      <c r="Z61" s="12">
        <f>Y61*365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'02_GPU_Mix_Input'!D62</f>
        <v/>
      </c>
      <c r="O62" s="10">
        <f>'02_GPU_Mix_Input'!E62</f>
        <v/>
      </c>
      <c r="P62" s="10">
        <f>'02_GPU_Mix_Input'!F62</f>
        <v/>
      </c>
      <c r="Q62" s="10">
        <f>'02_GPU_Mix_Input'!G62</f>
        <v/>
      </c>
      <c r="R62" s="12">
        <f>INDEX('01_Benchmark_Input'!$D$2:$D$10,MATCH(B62,'01_Benchmark_Input'!$A$2:$A$10,0))</f>
        <v/>
      </c>
      <c r="S62" s="12">
        <f>INDEX('01_Benchmark_Input'!$F$2:$F$10,MATCH(B62,'01_Benchmark_Input'!$A$2:$A$10,0))</f>
        <v/>
      </c>
      <c r="T62" s="12">
        <f>INDEX('01_Benchmark_Input'!$H$2:$H$10,MATCH(B62,'01_Benchmark_Input'!$A$2:$A$10,0))</f>
        <v/>
      </c>
      <c r="U62" s="12">
        <f>INDEX('01_Benchmark_Input'!$J$2:$J$10,MATCH(B62,'01_Benchmark_Input'!$A$2:$A$10,0))</f>
        <v/>
      </c>
      <c r="V62" s="10">
        <f>'02_Inputs'!K62</f>
        <v/>
      </c>
      <c r="W62" s="12">
        <f>N62*R62+O62*S62+P62*T62+Q62*U62</f>
        <v/>
      </c>
      <c r="X62" s="12">
        <f>W62*V62</f>
        <v/>
      </c>
      <c r="Y62" s="12">
        <f>L62*1000*X62*86400</f>
        <v/>
      </c>
      <c r="Z62" s="12">
        <f>Y62*365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'02_GPU_Mix_Input'!D63</f>
        <v/>
      </c>
      <c r="O63" s="10">
        <f>'02_GPU_Mix_Input'!E63</f>
        <v/>
      </c>
      <c r="P63" s="10">
        <f>'02_GPU_Mix_Input'!F63</f>
        <v/>
      </c>
      <c r="Q63" s="10">
        <f>'02_GPU_Mix_Input'!G63</f>
        <v/>
      </c>
      <c r="R63" s="12">
        <f>INDEX('01_Benchmark_Input'!$D$2:$D$10,MATCH(B63,'01_Benchmark_Input'!$A$2:$A$10,0))</f>
        <v/>
      </c>
      <c r="S63" s="12">
        <f>INDEX('01_Benchmark_Input'!$F$2:$F$10,MATCH(B63,'01_Benchmark_Input'!$A$2:$A$10,0))</f>
        <v/>
      </c>
      <c r="T63" s="12">
        <f>INDEX('01_Benchmark_Input'!$H$2:$H$10,MATCH(B63,'01_Benchmark_Input'!$A$2:$A$10,0))</f>
        <v/>
      </c>
      <c r="U63" s="12">
        <f>INDEX('01_Benchmark_Input'!$J$2:$J$10,MATCH(B63,'01_Benchmark_Input'!$A$2:$A$10,0))</f>
        <v/>
      </c>
      <c r="V63" s="10">
        <f>'02_Inputs'!K63</f>
        <v/>
      </c>
      <c r="W63" s="12">
        <f>N63*R63+O63*S63+P63*T63+Q63*U63</f>
        <v/>
      </c>
      <c r="X63" s="12">
        <f>W63*V63</f>
        <v/>
      </c>
      <c r="Y63" s="12">
        <f>L63*1000*X63*86400</f>
        <v/>
      </c>
      <c r="Z63" s="12">
        <f>Y63*365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'02_GPU_Mix_Input'!D64</f>
        <v/>
      </c>
      <c r="O64" s="10">
        <f>'02_GPU_Mix_Input'!E64</f>
        <v/>
      </c>
      <c r="P64" s="10">
        <f>'02_GPU_Mix_Input'!F64</f>
        <v/>
      </c>
      <c r="Q64" s="10">
        <f>'02_GPU_Mix_Input'!G64</f>
        <v/>
      </c>
      <c r="R64" s="12">
        <f>INDEX('01_Benchmark_Input'!$D$2:$D$10,MATCH(B64,'01_Benchmark_Input'!$A$2:$A$10,0))</f>
        <v/>
      </c>
      <c r="S64" s="12">
        <f>INDEX('01_Benchmark_Input'!$F$2:$F$10,MATCH(B64,'01_Benchmark_Input'!$A$2:$A$10,0))</f>
        <v/>
      </c>
      <c r="T64" s="12">
        <f>INDEX('01_Benchmark_Input'!$H$2:$H$10,MATCH(B64,'01_Benchmark_Input'!$A$2:$A$10,0))</f>
        <v/>
      </c>
      <c r="U64" s="12">
        <f>INDEX('01_Benchmark_Input'!$J$2:$J$10,MATCH(B64,'01_Benchmark_Input'!$A$2:$A$10,0))</f>
        <v/>
      </c>
      <c r="V64" s="10">
        <f>'02_Inputs'!K64</f>
        <v/>
      </c>
      <c r="W64" s="12">
        <f>N64*R64+O64*S64+P64*T64+Q64*U64</f>
        <v/>
      </c>
      <c r="X64" s="12">
        <f>W64*V64</f>
        <v/>
      </c>
      <c r="Y64" s="12">
        <f>L64*1000*X64*86400</f>
        <v/>
      </c>
      <c r="Z64" s="12">
        <f>Y64*365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'02_GPU_Mix_Input'!D65</f>
        <v/>
      </c>
      <c r="O65" s="10">
        <f>'02_GPU_Mix_Input'!E65</f>
        <v/>
      </c>
      <c r="P65" s="10">
        <f>'02_GPU_Mix_Input'!F65</f>
        <v/>
      </c>
      <c r="Q65" s="10">
        <f>'02_GPU_Mix_Input'!G65</f>
        <v/>
      </c>
      <c r="R65" s="12">
        <f>INDEX('01_Benchmark_Input'!$D$2:$D$10,MATCH(B65,'01_Benchmark_Input'!$A$2:$A$10,0))</f>
        <v/>
      </c>
      <c r="S65" s="12">
        <f>INDEX('01_Benchmark_Input'!$F$2:$F$10,MATCH(B65,'01_Benchmark_Input'!$A$2:$A$10,0))</f>
        <v/>
      </c>
      <c r="T65" s="12">
        <f>INDEX('01_Benchmark_Input'!$H$2:$H$10,MATCH(B65,'01_Benchmark_Input'!$A$2:$A$10,0))</f>
        <v/>
      </c>
      <c r="U65" s="12">
        <f>INDEX('01_Benchmark_Input'!$J$2:$J$10,MATCH(B65,'01_Benchmark_Input'!$A$2:$A$10,0))</f>
        <v/>
      </c>
      <c r="V65" s="10">
        <f>'02_Inputs'!K65</f>
        <v/>
      </c>
      <c r="W65" s="12">
        <f>N65*R65+O65*S65+P65*T65+Q65*U65</f>
        <v/>
      </c>
      <c r="X65" s="12">
        <f>W65*V65</f>
        <v/>
      </c>
      <c r="Y65" s="12">
        <f>L65*1000*X65*86400</f>
        <v/>
      </c>
      <c r="Z65" s="12">
        <f>Y65*365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'02_GPU_Mix_Input'!D66</f>
        <v/>
      </c>
      <c r="O66" s="10">
        <f>'02_GPU_Mix_Input'!E66</f>
        <v/>
      </c>
      <c r="P66" s="10">
        <f>'02_GPU_Mix_Input'!F66</f>
        <v/>
      </c>
      <c r="Q66" s="10">
        <f>'02_GPU_Mix_Input'!G66</f>
        <v/>
      </c>
      <c r="R66" s="12">
        <f>INDEX('01_Benchmark_Input'!$D$2:$D$10,MATCH(B66,'01_Benchmark_Input'!$A$2:$A$10,0))</f>
        <v/>
      </c>
      <c r="S66" s="12">
        <f>INDEX('01_Benchmark_Input'!$F$2:$F$10,MATCH(B66,'01_Benchmark_Input'!$A$2:$A$10,0))</f>
        <v/>
      </c>
      <c r="T66" s="12">
        <f>INDEX('01_Benchmark_Input'!$H$2:$H$10,MATCH(B66,'01_Benchmark_Input'!$A$2:$A$10,0))</f>
        <v/>
      </c>
      <c r="U66" s="12">
        <f>INDEX('01_Benchmark_Input'!$J$2:$J$10,MATCH(B66,'01_Benchmark_Input'!$A$2:$A$10,0))</f>
        <v/>
      </c>
      <c r="V66" s="10">
        <f>'02_Inputs'!K66</f>
        <v/>
      </c>
      <c r="W66" s="12">
        <f>N66*R66+O66*S66+P66*T66+Q66*U66</f>
        <v/>
      </c>
      <c r="X66" s="12">
        <f>W66*V66</f>
        <v/>
      </c>
      <c r="Y66" s="12">
        <f>L66*1000*X66*86400</f>
        <v/>
      </c>
      <c r="Z66" s="12">
        <f>Y66*365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'02_GPU_Mix_Input'!D67</f>
        <v/>
      </c>
      <c r="O67" s="10">
        <f>'02_GPU_Mix_Input'!E67</f>
        <v/>
      </c>
      <c r="P67" s="10">
        <f>'02_GPU_Mix_Input'!F67</f>
        <v/>
      </c>
      <c r="Q67" s="10">
        <f>'02_GPU_Mix_Input'!G67</f>
        <v/>
      </c>
      <c r="R67" s="12">
        <f>INDEX('01_Benchmark_Input'!$D$2:$D$10,MATCH(B67,'01_Benchmark_Input'!$A$2:$A$10,0))</f>
        <v/>
      </c>
      <c r="S67" s="12">
        <f>INDEX('01_Benchmark_Input'!$F$2:$F$10,MATCH(B67,'01_Benchmark_Input'!$A$2:$A$10,0))</f>
        <v/>
      </c>
      <c r="T67" s="12">
        <f>INDEX('01_Benchmark_Input'!$H$2:$H$10,MATCH(B67,'01_Benchmark_Input'!$A$2:$A$10,0))</f>
        <v/>
      </c>
      <c r="U67" s="12">
        <f>INDEX('01_Benchmark_Input'!$J$2:$J$10,MATCH(B67,'01_Benchmark_Input'!$A$2:$A$10,0))</f>
        <v/>
      </c>
      <c r="V67" s="10">
        <f>'02_Inputs'!K67</f>
        <v/>
      </c>
      <c r="W67" s="12">
        <f>N67*R67+O67*S67+P67*T67+Q67*U67</f>
        <v/>
      </c>
      <c r="X67" s="12">
        <f>W67*V67</f>
        <v/>
      </c>
      <c r="Y67" s="12">
        <f>L67*1000*X67*86400</f>
        <v/>
      </c>
      <c r="Z67" s="12">
        <f>Y67*365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'02_GPU_Mix_Input'!D68</f>
        <v/>
      </c>
      <c r="O68" s="10">
        <f>'02_GPU_Mix_Input'!E68</f>
        <v/>
      </c>
      <c r="P68" s="10">
        <f>'02_GPU_Mix_Input'!F68</f>
        <v/>
      </c>
      <c r="Q68" s="10">
        <f>'02_GPU_Mix_Input'!G68</f>
        <v/>
      </c>
      <c r="R68" s="12">
        <f>INDEX('01_Benchmark_Input'!$D$2:$D$10,MATCH(B68,'01_Benchmark_Input'!$A$2:$A$10,0))</f>
        <v/>
      </c>
      <c r="S68" s="12">
        <f>INDEX('01_Benchmark_Input'!$F$2:$F$10,MATCH(B68,'01_Benchmark_Input'!$A$2:$A$10,0))</f>
        <v/>
      </c>
      <c r="T68" s="12">
        <f>INDEX('01_Benchmark_Input'!$H$2:$H$10,MATCH(B68,'01_Benchmark_Input'!$A$2:$A$10,0))</f>
        <v/>
      </c>
      <c r="U68" s="12">
        <f>INDEX('01_Benchmark_Input'!$J$2:$J$10,MATCH(B68,'01_Benchmark_Input'!$A$2:$A$10,0))</f>
        <v/>
      </c>
      <c r="V68" s="10">
        <f>'02_Inputs'!K68</f>
        <v/>
      </c>
      <c r="W68" s="12">
        <f>N68*R68+O68*S68+P68*T68+Q68*U68</f>
        <v/>
      </c>
      <c r="X68" s="12">
        <f>W68*V68</f>
        <v/>
      </c>
      <c r="Y68" s="12">
        <f>L68*1000*X68*86400</f>
        <v/>
      </c>
      <c r="Z68" s="12">
        <f>Y68*365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'02_GPU_Mix_Input'!D69</f>
        <v/>
      </c>
      <c r="O69" s="10">
        <f>'02_GPU_Mix_Input'!E69</f>
        <v/>
      </c>
      <c r="P69" s="10">
        <f>'02_GPU_Mix_Input'!F69</f>
        <v/>
      </c>
      <c r="Q69" s="10">
        <f>'02_GPU_Mix_Input'!G69</f>
        <v/>
      </c>
      <c r="R69" s="12">
        <f>INDEX('01_Benchmark_Input'!$D$2:$D$10,MATCH(B69,'01_Benchmark_Input'!$A$2:$A$10,0))</f>
        <v/>
      </c>
      <c r="S69" s="12">
        <f>INDEX('01_Benchmark_Input'!$F$2:$F$10,MATCH(B69,'01_Benchmark_Input'!$A$2:$A$10,0))</f>
        <v/>
      </c>
      <c r="T69" s="12">
        <f>INDEX('01_Benchmark_Input'!$H$2:$H$10,MATCH(B69,'01_Benchmark_Input'!$A$2:$A$10,0))</f>
        <v/>
      </c>
      <c r="U69" s="12">
        <f>INDEX('01_Benchmark_Input'!$J$2:$J$10,MATCH(B69,'01_Benchmark_Input'!$A$2:$A$10,0))</f>
        <v/>
      </c>
      <c r="V69" s="10">
        <f>'02_Inputs'!K69</f>
        <v/>
      </c>
      <c r="W69" s="12">
        <f>N69*R69+O69*S69+P69*T69+Q69*U69</f>
        <v/>
      </c>
      <c r="X69" s="12">
        <f>W69*V69</f>
        <v/>
      </c>
      <c r="Y69" s="12">
        <f>L69*1000*X69*86400</f>
        <v/>
      </c>
      <c r="Z69" s="12">
        <f>Y69*365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'02_GPU_Mix_Input'!D70</f>
        <v/>
      </c>
      <c r="O70" s="10">
        <f>'02_GPU_Mix_Input'!E70</f>
        <v/>
      </c>
      <c r="P70" s="10">
        <f>'02_GPU_Mix_Input'!F70</f>
        <v/>
      </c>
      <c r="Q70" s="10">
        <f>'02_GPU_Mix_Input'!G70</f>
        <v/>
      </c>
      <c r="R70" s="12">
        <f>INDEX('01_Benchmark_Input'!$D$2:$D$10,MATCH(B70,'01_Benchmark_Input'!$A$2:$A$10,0))</f>
        <v/>
      </c>
      <c r="S70" s="12">
        <f>INDEX('01_Benchmark_Input'!$F$2:$F$10,MATCH(B70,'01_Benchmark_Input'!$A$2:$A$10,0))</f>
        <v/>
      </c>
      <c r="T70" s="12">
        <f>INDEX('01_Benchmark_Input'!$H$2:$H$10,MATCH(B70,'01_Benchmark_Input'!$A$2:$A$10,0))</f>
        <v/>
      </c>
      <c r="U70" s="12">
        <f>INDEX('01_Benchmark_Input'!$J$2:$J$10,MATCH(B70,'01_Benchmark_Input'!$A$2:$A$10,0))</f>
        <v/>
      </c>
      <c r="V70" s="10">
        <f>'02_Inputs'!K70</f>
        <v/>
      </c>
      <c r="W70" s="12">
        <f>N70*R70+O70*S70+P70*T70+Q70*U70</f>
        <v/>
      </c>
      <c r="X70" s="12">
        <f>W70*V70</f>
        <v/>
      </c>
      <c r="Y70" s="12">
        <f>L70*1000*X70*86400</f>
        <v/>
      </c>
      <c r="Z70" s="12">
        <f>Y70*365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'02_GPU_Mix_Input'!D71</f>
        <v/>
      </c>
      <c r="O71" s="10">
        <f>'02_GPU_Mix_Input'!E71</f>
        <v/>
      </c>
      <c r="P71" s="10">
        <f>'02_GPU_Mix_Input'!F71</f>
        <v/>
      </c>
      <c r="Q71" s="10">
        <f>'02_GPU_Mix_Input'!G71</f>
        <v/>
      </c>
      <c r="R71" s="12">
        <f>INDEX('01_Benchmark_Input'!$D$2:$D$10,MATCH(B71,'01_Benchmark_Input'!$A$2:$A$10,0))</f>
        <v/>
      </c>
      <c r="S71" s="12">
        <f>INDEX('01_Benchmark_Input'!$F$2:$F$10,MATCH(B71,'01_Benchmark_Input'!$A$2:$A$10,0))</f>
        <v/>
      </c>
      <c r="T71" s="12">
        <f>INDEX('01_Benchmark_Input'!$H$2:$H$10,MATCH(B71,'01_Benchmark_Input'!$A$2:$A$10,0))</f>
        <v/>
      </c>
      <c r="U71" s="12">
        <f>INDEX('01_Benchmark_Input'!$J$2:$J$10,MATCH(B71,'01_Benchmark_Input'!$A$2:$A$10,0))</f>
        <v/>
      </c>
      <c r="V71" s="10">
        <f>'02_Inputs'!K71</f>
        <v/>
      </c>
      <c r="W71" s="12">
        <f>N71*R71+O71*S71+P71*T71+Q71*U71</f>
        <v/>
      </c>
      <c r="X71" s="12">
        <f>W71*V71</f>
        <v/>
      </c>
      <c r="Y71" s="12">
        <f>L71*1000*X71*86400</f>
        <v/>
      </c>
      <c r="Z71" s="12">
        <f>Y71*365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'02_GPU_Mix_Input'!D72</f>
        <v/>
      </c>
      <c r="O72" s="10">
        <f>'02_GPU_Mix_Input'!E72</f>
        <v/>
      </c>
      <c r="P72" s="10">
        <f>'02_GPU_Mix_Input'!F72</f>
        <v/>
      </c>
      <c r="Q72" s="10">
        <f>'02_GPU_Mix_Input'!G72</f>
        <v/>
      </c>
      <c r="R72" s="12">
        <f>INDEX('01_Benchmark_Input'!$D$2:$D$10,MATCH(B72,'01_Benchmark_Input'!$A$2:$A$10,0))</f>
        <v/>
      </c>
      <c r="S72" s="12">
        <f>INDEX('01_Benchmark_Input'!$F$2:$F$10,MATCH(B72,'01_Benchmark_Input'!$A$2:$A$10,0))</f>
        <v/>
      </c>
      <c r="T72" s="12">
        <f>INDEX('01_Benchmark_Input'!$H$2:$H$10,MATCH(B72,'01_Benchmark_Input'!$A$2:$A$10,0))</f>
        <v/>
      </c>
      <c r="U72" s="12">
        <f>INDEX('01_Benchmark_Input'!$J$2:$J$10,MATCH(B72,'01_Benchmark_Input'!$A$2:$A$10,0))</f>
        <v/>
      </c>
      <c r="V72" s="10">
        <f>'02_Inputs'!K72</f>
        <v/>
      </c>
      <c r="W72" s="12">
        <f>N72*R72+O72*S72+P72*T72+Q72*U72</f>
        <v/>
      </c>
      <c r="X72" s="12">
        <f>W72*V72</f>
        <v/>
      </c>
      <c r="Y72" s="12">
        <f>L72*1000*X72*86400</f>
        <v/>
      </c>
      <c r="Z72" s="12">
        <f>Y72*365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'02_GPU_Mix_Input'!D73</f>
        <v/>
      </c>
      <c r="O73" s="10">
        <f>'02_GPU_Mix_Input'!E73</f>
        <v/>
      </c>
      <c r="P73" s="10">
        <f>'02_GPU_Mix_Input'!F73</f>
        <v/>
      </c>
      <c r="Q73" s="10">
        <f>'02_GPU_Mix_Input'!G73</f>
        <v/>
      </c>
      <c r="R73" s="12">
        <f>INDEX('01_Benchmark_Input'!$D$2:$D$10,MATCH(B73,'01_Benchmark_Input'!$A$2:$A$10,0))</f>
        <v/>
      </c>
      <c r="S73" s="12">
        <f>INDEX('01_Benchmark_Input'!$F$2:$F$10,MATCH(B73,'01_Benchmark_Input'!$A$2:$A$10,0))</f>
        <v/>
      </c>
      <c r="T73" s="12">
        <f>INDEX('01_Benchmark_Input'!$H$2:$H$10,MATCH(B73,'01_Benchmark_Input'!$A$2:$A$10,0))</f>
        <v/>
      </c>
      <c r="U73" s="12">
        <f>INDEX('01_Benchmark_Input'!$J$2:$J$10,MATCH(B73,'01_Benchmark_Input'!$A$2:$A$10,0))</f>
        <v/>
      </c>
      <c r="V73" s="10">
        <f>'02_Inputs'!K73</f>
        <v/>
      </c>
      <c r="W73" s="12">
        <f>N73*R73+O73*S73+P73*T73+Q73*U73</f>
        <v/>
      </c>
      <c r="X73" s="12">
        <f>W73*V73</f>
        <v/>
      </c>
      <c r="Y73" s="12">
        <f>L73*1000*X73*86400</f>
        <v/>
      </c>
      <c r="Z73" s="12">
        <f>Y73*365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'02_GPU_Mix_Input'!D74</f>
        <v/>
      </c>
      <c r="O74" s="10">
        <f>'02_GPU_Mix_Input'!E74</f>
        <v/>
      </c>
      <c r="P74" s="10">
        <f>'02_GPU_Mix_Input'!F74</f>
        <v/>
      </c>
      <c r="Q74" s="10">
        <f>'02_GPU_Mix_Input'!G74</f>
        <v/>
      </c>
      <c r="R74" s="12">
        <f>INDEX('01_Benchmark_Input'!$D$2:$D$10,MATCH(B74,'01_Benchmark_Input'!$A$2:$A$10,0))</f>
        <v/>
      </c>
      <c r="S74" s="12">
        <f>INDEX('01_Benchmark_Input'!$F$2:$F$10,MATCH(B74,'01_Benchmark_Input'!$A$2:$A$10,0))</f>
        <v/>
      </c>
      <c r="T74" s="12">
        <f>INDEX('01_Benchmark_Input'!$H$2:$H$10,MATCH(B74,'01_Benchmark_Input'!$A$2:$A$10,0))</f>
        <v/>
      </c>
      <c r="U74" s="12">
        <f>INDEX('01_Benchmark_Input'!$J$2:$J$10,MATCH(B74,'01_Benchmark_Input'!$A$2:$A$10,0))</f>
        <v/>
      </c>
      <c r="V74" s="10">
        <f>'02_Inputs'!K74</f>
        <v/>
      </c>
      <c r="W74" s="12">
        <f>N74*R74+O74*S74+P74*T74+Q74*U74</f>
        <v/>
      </c>
      <c r="X74" s="12">
        <f>W74*V74</f>
        <v/>
      </c>
      <c r="Y74" s="12">
        <f>L74*1000*X74*86400</f>
        <v/>
      </c>
      <c r="Z74" s="12">
        <f>Y74*365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'02_GPU_Mix_Input'!D75</f>
        <v/>
      </c>
      <c r="O75" s="10">
        <f>'02_GPU_Mix_Input'!E75</f>
        <v/>
      </c>
      <c r="P75" s="10">
        <f>'02_GPU_Mix_Input'!F75</f>
        <v/>
      </c>
      <c r="Q75" s="10">
        <f>'02_GPU_Mix_Input'!G75</f>
        <v/>
      </c>
      <c r="R75" s="12">
        <f>INDEX('01_Benchmark_Input'!$D$2:$D$10,MATCH(B75,'01_Benchmark_Input'!$A$2:$A$10,0))</f>
        <v/>
      </c>
      <c r="S75" s="12">
        <f>INDEX('01_Benchmark_Input'!$F$2:$F$10,MATCH(B75,'01_Benchmark_Input'!$A$2:$A$10,0))</f>
        <v/>
      </c>
      <c r="T75" s="12">
        <f>INDEX('01_Benchmark_Input'!$H$2:$H$10,MATCH(B75,'01_Benchmark_Input'!$A$2:$A$10,0))</f>
        <v/>
      </c>
      <c r="U75" s="12">
        <f>INDEX('01_Benchmark_Input'!$J$2:$J$10,MATCH(B75,'01_Benchmark_Input'!$A$2:$A$10,0))</f>
        <v/>
      </c>
      <c r="V75" s="10">
        <f>'02_Inputs'!K75</f>
        <v/>
      </c>
      <c r="W75" s="12">
        <f>N75*R75+O75*S75+P75*T75+Q75*U75</f>
        <v/>
      </c>
      <c r="X75" s="12">
        <f>W75*V75</f>
        <v/>
      </c>
      <c r="Y75" s="12">
        <f>L75*1000*X75*86400</f>
        <v/>
      </c>
      <c r="Z75" s="12">
        <f>Y75*365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'02_GPU_Mix_Input'!D76</f>
        <v/>
      </c>
      <c r="O76" s="10">
        <f>'02_GPU_Mix_Input'!E76</f>
        <v/>
      </c>
      <c r="P76" s="10">
        <f>'02_GPU_Mix_Input'!F76</f>
        <v/>
      </c>
      <c r="Q76" s="10">
        <f>'02_GPU_Mix_Input'!G76</f>
        <v/>
      </c>
      <c r="R76" s="12">
        <f>INDEX('01_Benchmark_Input'!$D$2:$D$10,MATCH(B76,'01_Benchmark_Input'!$A$2:$A$10,0))</f>
        <v/>
      </c>
      <c r="S76" s="12">
        <f>INDEX('01_Benchmark_Input'!$F$2:$F$10,MATCH(B76,'01_Benchmark_Input'!$A$2:$A$10,0))</f>
        <v/>
      </c>
      <c r="T76" s="12">
        <f>INDEX('01_Benchmark_Input'!$H$2:$H$10,MATCH(B76,'01_Benchmark_Input'!$A$2:$A$10,0))</f>
        <v/>
      </c>
      <c r="U76" s="12">
        <f>INDEX('01_Benchmark_Input'!$J$2:$J$10,MATCH(B76,'01_Benchmark_Input'!$A$2:$A$10,0))</f>
        <v/>
      </c>
      <c r="V76" s="10">
        <f>'02_Inputs'!K76</f>
        <v/>
      </c>
      <c r="W76" s="12">
        <f>N76*R76+O76*S76+P76*T76+Q76*U76</f>
        <v/>
      </c>
      <c r="X76" s="12">
        <f>W76*V76</f>
        <v/>
      </c>
      <c r="Y76" s="12">
        <f>L76*1000*X76*86400</f>
        <v/>
      </c>
      <c r="Z76" s="12">
        <f>Y76*365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'02_GPU_Mix_Input'!D77</f>
        <v/>
      </c>
      <c r="O77" s="10">
        <f>'02_GPU_Mix_Input'!E77</f>
        <v/>
      </c>
      <c r="P77" s="10">
        <f>'02_GPU_Mix_Input'!F77</f>
        <v/>
      </c>
      <c r="Q77" s="10">
        <f>'02_GPU_Mix_Input'!G77</f>
        <v/>
      </c>
      <c r="R77" s="12">
        <f>INDEX('01_Benchmark_Input'!$D$2:$D$10,MATCH(B77,'01_Benchmark_Input'!$A$2:$A$10,0))</f>
        <v/>
      </c>
      <c r="S77" s="12">
        <f>INDEX('01_Benchmark_Input'!$F$2:$F$10,MATCH(B77,'01_Benchmark_Input'!$A$2:$A$10,0))</f>
        <v/>
      </c>
      <c r="T77" s="12">
        <f>INDEX('01_Benchmark_Input'!$H$2:$H$10,MATCH(B77,'01_Benchmark_Input'!$A$2:$A$10,0))</f>
        <v/>
      </c>
      <c r="U77" s="12">
        <f>INDEX('01_Benchmark_Input'!$J$2:$J$10,MATCH(B77,'01_Benchmark_Input'!$A$2:$A$10,0))</f>
        <v/>
      </c>
      <c r="V77" s="10">
        <f>'02_Inputs'!K77</f>
        <v/>
      </c>
      <c r="W77" s="12">
        <f>N77*R77+O77*S77+P77*T77+Q77*U77</f>
        <v/>
      </c>
      <c r="X77" s="12">
        <f>W77*V77</f>
        <v/>
      </c>
      <c r="Y77" s="12">
        <f>L77*1000*X77*86400</f>
        <v/>
      </c>
      <c r="Z77" s="12">
        <f>Y77*365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'02_GPU_Mix_Input'!D78</f>
        <v/>
      </c>
      <c r="O78" s="10">
        <f>'02_GPU_Mix_Input'!E78</f>
        <v/>
      </c>
      <c r="P78" s="10">
        <f>'02_GPU_Mix_Input'!F78</f>
        <v/>
      </c>
      <c r="Q78" s="10">
        <f>'02_GPU_Mix_Input'!G78</f>
        <v/>
      </c>
      <c r="R78" s="12">
        <f>INDEX('01_Benchmark_Input'!$D$2:$D$10,MATCH(B78,'01_Benchmark_Input'!$A$2:$A$10,0))</f>
        <v/>
      </c>
      <c r="S78" s="12">
        <f>INDEX('01_Benchmark_Input'!$F$2:$F$10,MATCH(B78,'01_Benchmark_Input'!$A$2:$A$10,0))</f>
        <v/>
      </c>
      <c r="T78" s="12">
        <f>INDEX('01_Benchmark_Input'!$H$2:$H$10,MATCH(B78,'01_Benchmark_Input'!$A$2:$A$10,0))</f>
        <v/>
      </c>
      <c r="U78" s="12">
        <f>INDEX('01_Benchmark_Input'!$J$2:$J$10,MATCH(B78,'01_Benchmark_Input'!$A$2:$A$10,0))</f>
        <v/>
      </c>
      <c r="V78" s="10">
        <f>'02_Inputs'!K78</f>
        <v/>
      </c>
      <c r="W78" s="12">
        <f>N78*R78+O78*S78+P78*T78+Q78*U78</f>
        <v/>
      </c>
      <c r="X78" s="12">
        <f>W78*V78</f>
        <v/>
      </c>
      <c r="Y78" s="12">
        <f>L78*1000*X78*86400</f>
        <v/>
      </c>
      <c r="Z78" s="12">
        <f>Y78*365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'02_GPU_Mix_Input'!D79</f>
        <v/>
      </c>
      <c r="O79" s="10">
        <f>'02_GPU_Mix_Input'!E79</f>
        <v/>
      </c>
      <c r="P79" s="10">
        <f>'02_GPU_Mix_Input'!F79</f>
        <v/>
      </c>
      <c r="Q79" s="10">
        <f>'02_GPU_Mix_Input'!G79</f>
        <v/>
      </c>
      <c r="R79" s="12">
        <f>INDEX('01_Benchmark_Input'!$D$2:$D$10,MATCH(B79,'01_Benchmark_Input'!$A$2:$A$10,0))</f>
        <v/>
      </c>
      <c r="S79" s="12">
        <f>INDEX('01_Benchmark_Input'!$F$2:$F$10,MATCH(B79,'01_Benchmark_Input'!$A$2:$A$10,0))</f>
        <v/>
      </c>
      <c r="T79" s="12">
        <f>INDEX('01_Benchmark_Input'!$H$2:$H$10,MATCH(B79,'01_Benchmark_Input'!$A$2:$A$10,0))</f>
        <v/>
      </c>
      <c r="U79" s="12">
        <f>INDEX('01_Benchmark_Input'!$J$2:$J$10,MATCH(B79,'01_Benchmark_Input'!$A$2:$A$10,0))</f>
        <v/>
      </c>
      <c r="V79" s="10">
        <f>'02_Inputs'!K79</f>
        <v/>
      </c>
      <c r="W79" s="12">
        <f>N79*R79+O79*S79+P79*T79+Q79*U79</f>
        <v/>
      </c>
      <c r="X79" s="12">
        <f>W79*V79</f>
        <v/>
      </c>
      <c r="Y79" s="12">
        <f>L79*1000*X79*86400</f>
        <v/>
      </c>
      <c r="Z79" s="12">
        <f>Y79*365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'02_GPU_Mix_Input'!D80</f>
        <v/>
      </c>
      <c r="O80" s="10">
        <f>'02_GPU_Mix_Input'!E80</f>
        <v/>
      </c>
      <c r="P80" s="10">
        <f>'02_GPU_Mix_Input'!F80</f>
        <v/>
      </c>
      <c r="Q80" s="10">
        <f>'02_GPU_Mix_Input'!G80</f>
        <v/>
      </c>
      <c r="R80" s="12">
        <f>INDEX('01_Benchmark_Input'!$D$2:$D$10,MATCH(B80,'01_Benchmark_Input'!$A$2:$A$10,0))</f>
        <v/>
      </c>
      <c r="S80" s="12">
        <f>INDEX('01_Benchmark_Input'!$F$2:$F$10,MATCH(B80,'01_Benchmark_Input'!$A$2:$A$10,0))</f>
        <v/>
      </c>
      <c r="T80" s="12">
        <f>INDEX('01_Benchmark_Input'!$H$2:$H$10,MATCH(B80,'01_Benchmark_Input'!$A$2:$A$10,0))</f>
        <v/>
      </c>
      <c r="U80" s="12">
        <f>INDEX('01_Benchmark_Input'!$J$2:$J$10,MATCH(B80,'01_Benchmark_Input'!$A$2:$A$10,0))</f>
        <v/>
      </c>
      <c r="V80" s="10">
        <f>'02_Inputs'!K80</f>
        <v/>
      </c>
      <c r="W80" s="12">
        <f>N80*R80+O80*S80+P80*T80+Q80*U80</f>
        <v/>
      </c>
      <c r="X80" s="12">
        <f>W80*V80</f>
        <v/>
      </c>
      <c r="Y80" s="12">
        <f>L80*1000*X80*86400</f>
        <v/>
      </c>
      <c r="Z80" s="12">
        <f>Y80*365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'02_GPU_Mix_Input'!D81</f>
        <v/>
      </c>
      <c r="O81" s="10">
        <f>'02_GPU_Mix_Input'!E81</f>
        <v/>
      </c>
      <c r="P81" s="10">
        <f>'02_GPU_Mix_Input'!F81</f>
        <v/>
      </c>
      <c r="Q81" s="10">
        <f>'02_GPU_Mix_Input'!G81</f>
        <v/>
      </c>
      <c r="R81" s="12">
        <f>INDEX('01_Benchmark_Input'!$D$2:$D$10,MATCH(B81,'01_Benchmark_Input'!$A$2:$A$10,0))</f>
        <v/>
      </c>
      <c r="S81" s="12">
        <f>INDEX('01_Benchmark_Input'!$F$2:$F$10,MATCH(B81,'01_Benchmark_Input'!$A$2:$A$10,0))</f>
        <v/>
      </c>
      <c r="T81" s="12">
        <f>INDEX('01_Benchmark_Input'!$H$2:$H$10,MATCH(B81,'01_Benchmark_Input'!$A$2:$A$10,0))</f>
        <v/>
      </c>
      <c r="U81" s="12">
        <f>INDEX('01_Benchmark_Input'!$J$2:$J$10,MATCH(B81,'01_Benchmark_Input'!$A$2:$A$10,0))</f>
        <v/>
      </c>
      <c r="V81" s="10">
        <f>'02_Inputs'!K81</f>
        <v/>
      </c>
      <c r="W81" s="12">
        <f>N81*R81+O81*S81+P81*T81+Q81*U81</f>
        <v/>
      </c>
      <c r="X81" s="12">
        <f>W81*V81</f>
        <v/>
      </c>
      <c r="Y81" s="12">
        <f>L81*1000*X81*86400</f>
        <v/>
      </c>
      <c r="Z81" s="12">
        <f>Y81*365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'02_GPU_Mix_Input'!D82</f>
        <v/>
      </c>
      <c r="O82" s="10">
        <f>'02_GPU_Mix_Input'!E82</f>
        <v/>
      </c>
      <c r="P82" s="10">
        <f>'02_GPU_Mix_Input'!F82</f>
        <v/>
      </c>
      <c r="Q82" s="10">
        <f>'02_GPU_Mix_Input'!G82</f>
        <v/>
      </c>
      <c r="R82" s="12">
        <f>INDEX('01_Benchmark_Input'!$D$2:$D$10,MATCH(B82,'01_Benchmark_Input'!$A$2:$A$10,0))</f>
        <v/>
      </c>
      <c r="S82" s="12">
        <f>INDEX('01_Benchmark_Input'!$F$2:$F$10,MATCH(B82,'01_Benchmark_Input'!$A$2:$A$10,0))</f>
        <v/>
      </c>
      <c r="T82" s="12">
        <f>INDEX('01_Benchmark_Input'!$H$2:$H$10,MATCH(B82,'01_Benchmark_Input'!$A$2:$A$10,0))</f>
        <v/>
      </c>
      <c r="U82" s="12">
        <f>INDEX('01_Benchmark_Input'!$J$2:$J$10,MATCH(B82,'01_Benchmark_Input'!$A$2:$A$10,0))</f>
        <v/>
      </c>
      <c r="V82" s="10">
        <f>'02_Inputs'!K82</f>
        <v/>
      </c>
      <c r="W82" s="12">
        <f>N82*R82+O82*S82+P82*T82+Q82*U82</f>
        <v/>
      </c>
      <c r="X82" s="12">
        <f>W82*V82</f>
        <v/>
      </c>
      <c r="Y82" s="12">
        <f>L82*1000*X82*86400</f>
        <v/>
      </c>
      <c r="Z82" s="12">
        <f>Y82*365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'02_GPU_Mix_Input'!D83</f>
        <v/>
      </c>
      <c r="O83" s="10">
        <f>'02_GPU_Mix_Input'!E83</f>
        <v/>
      </c>
      <c r="P83" s="10">
        <f>'02_GPU_Mix_Input'!F83</f>
        <v/>
      </c>
      <c r="Q83" s="10">
        <f>'02_GPU_Mix_Input'!G83</f>
        <v/>
      </c>
      <c r="R83" s="12">
        <f>INDEX('01_Benchmark_Input'!$D$2:$D$10,MATCH(B83,'01_Benchmark_Input'!$A$2:$A$10,0))</f>
        <v/>
      </c>
      <c r="S83" s="12">
        <f>INDEX('01_Benchmark_Input'!$F$2:$F$10,MATCH(B83,'01_Benchmark_Input'!$A$2:$A$10,0))</f>
        <v/>
      </c>
      <c r="T83" s="12">
        <f>INDEX('01_Benchmark_Input'!$H$2:$H$10,MATCH(B83,'01_Benchmark_Input'!$A$2:$A$10,0))</f>
        <v/>
      </c>
      <c r="U83" s="12">
        <f>INDEX('01_Benchmark_Input'!$J$2:$J$10,MATCH(B83,'01_Benchmark_Input'!$A$2:$A$10,0))</f>
        <v/>
      </c>
      <c r="V83" s="10">
        <f>'02_Inputs'!K83</f>
        <v/>
      </c>
      <c r="W83" s="12">
        <f>N83*R83+O83*S83+P83*T83+Q83*U83</f>
        <v/>
      </c>
      <c r="X83" s="12">
        <f>W83*V83</f>
        <v/>
      </c>
      <c r="Y83" s="12">
        <f>L83*1000*X83*86400</f>
        <v/>
      </c>
      <c r="Z83" s="12">
        <f>Y83*365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'02_GPU_Mix_Input'!D84</f>
        <v/>
      </c>
      <c r="O84" s="10">
        <f>'02_GPU_Mix_Input'!E84</f>
        <v/>
      </c>
      <c r="P84" s="10">
        <f>'02_GPU_Mix_Input'!F84</f>
        <v/>
      </c>
      <c r="Q84" s="10">
        <f>'02_GPU_Mix_Input'!G84</f>
        <v/>
      </c>
      <c r="R84" s="12">
        <f>INDEX('01_Benchmark_Input'!$D$2:$D$10,MATCH(B84,'01_Benchmark_Input'!$A$2:$A$10,0))</f>
        <v/>
      </c>
      <c r="S84" s="12">
        <f>INDEX('01_Benchmark_Input'!$F$2:$F$10,MATCH(B84,'01_Benchmark_Input'!$A$2:$A$10,0))</f>
        <v/>
      </c>
      <c r="T84" s="12">
        <f>INDEX('01_Benchmark_Input'!$H$2:$H$10,MATCH(B84,'01_Benchmark_Input'!$A$2:$A$10,0))</f>
        <v/>
      </c>
      <c r="U84" s="12">
        <f>INDEX('01_Benchmark_Input'!$J$2:$J$10,MATCH(B84,'01_Benchmark_Input'!$A$2:$A$10,0))</f>
        <v/>
      </c>
      <c r="V84" s="10">
        <f>'02_Inputs'!K84</f>
        <v/>
      </c>
      <c r="W84" s="12">
        <f>N84*R84+O84*S84+P84*T84+Q84*U84</f>
        <v/>
      </c>
      <c r="X84" s="12">
        <f>W84*V84</f>
        <v/>
      </c>
      <c r="Y84" s="12">
        <f>L84*1000*X84*86400</f>
        <v/>
      </c>
      <c r="Z84" s="12">
        <f>Y84*365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'02_GPU_Mix_Input'!D85</f>
        <v/>
      </c>
      <c r="O85" s="10">
        <f>'02_GPU_Mix_Input'!E85</f>
        <v/>
      </c>
      <c r="P85" s="10">
        <f>'02_GPU_Mix_Input'!F85</f>
        <v/>
      </c>
      <c r="Q85" s="10">
        <f>'02_GPU_Mix_Input'!G85</f>
        <v/>
      </c>
      <c r="R85" s="12">
        <f>INDEX('01_Benchmark_Input'!$D$2:$D$10,MATCH(B85,'01_Benchmark_Input'!$A$2:$A$10,0))</f>
        <v/>
      </c>
      <c r="S85" s="12">
        <f>INDEX('01_Benchmark_Input'!$F$2:$F$10,MATCH(B85,'01_Benchmark_Input'!$A$2:$A$10,0))</f>
        <v/>
      </c>
      <c r="T85" s="12">
        <f>INDEX('01_Benchmark_Input'!$H$2:$H$10,MATCH(B85,'01_Benchmark_Input'!$A$2:$A$10,0))</f>
        <v/>
      </c>
      <c r="U85" s="12">
        <f>INDEX('01_Benchmark_Input'!$J$2:$J$10,MATCH(B85,'01_Benchmark_Input'!$A$2:$A$10,0))</f>
        <v/>
      </c>
      <c r="V85" s="10">
        <f>'02_Inputs'!K85</f>
        <v/>
      </c>
      <c r="W85" s="12">
        <f>N85*R85+O85*S85+P85*T85+Q85*U85</f>
        <v/>
      </c>
      <c r="X85" s="12">
        <f>W85*V85</f>
        <v/>
      </c>
      <c r="Y85" s="12">
        <f>L85*1000*X85*86400</f>
        <v/>
      </c>
      <c r="Z85" s="12">
        <f>Y85*365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'02_GPU_Mix_Input'!D86</f>
        <v/>
      </c>
      <c r="O86" s="10">
        <f>'02_GPU_Mix_Input'!E86</f>
        <v/>
      </c>
      <c r="P86" s="10">
        <f>'02_GPU_Mix_Input'!F86</f>
        <v/>
      </c>
      <c r="Q86" s="10">
        <f>'02_GPU_Mix_Input'!G86</f>
        <v/>
      </c>
      <c r="R86" s="12">
        <f>INDEX('01_Benchmark_Input'!$D$2:$D$10,MATCH(B86,'01_Benchmark_Input'!$A$2:$A$10,0))</f>
        <v/>
      </c>
      <c r="S86" s="12">
        <f>INDEX('01_Benchmark_Input'!$F$2:$F$10,MATCH(B86,'01_Benchmark_Input'!$A$2:$A$10,0))</f>
        <v/>
      </c>
      <c r="T86" s="12">
        <f>INDEX('01_Benchmark_Input'!$H$2:$H$10,MATCH(B86,'01_Benchmark_Input'!$A$2:$A$10,0))</f>
        <v/>
      </c>
      <c r="U86" s="12">
        <f>INDEX('01_Benchmark_Input'!$J$2:$J$10,MATCH(B86,'01_Benchmark_Input'!$A$2:$A$10,0))</f>
        <v/>
      </c>
      <c r="V86" s="10">
        <f>'02_Inputs'!K86</f>
        <v/>
      </c>
      <c r="W86" s="12">
        <f>N86*R86+O86*S86+P86*T86+Q86*U86</f>
        <v/>
      </c>
      <c r="X86" s="12">
        <f>W86*V86</f>
        <v/>
      </c>
      <c r="Y86" s="12">
        <f>L86*1000*X86*86400</f>
        <v/>
      </c>
      <c r="Z86" s="12">
        <f>Y86*365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'02_GPU_Mix_Input'!D87</f>
        <v/>
      </c>
      <c r="O87" s="10">
        <f>'02_GPU_Mix_Input'!E87</f>
        <v/>
      </c>
      <c r="P87" s="10">
        <f>'02_GPU_Mix_Input'!F87</f>
        <v/>
      </c>
      <c r="Q87" s="10">
        <f>'02_GPU_Mix_Input'!G87</f>
        <v/>
      </c>
      <c r="R87" s="12">
        <f>INDEX('01_Benchmark_Input'!$D$2:$D$10,MATCH(B87,'01_Benchmark_Input'!$A$2:$A$10,0))</f>
        <v/>
      </c>
      <c r="S87" s="12">
        <f>INDEX('01_Benchmark_Input'!$F$2:$F$10,MATCH(B87,'01_Benchmark_Input'!$A$2:$A$10,0))</f>
        <v/>
      </c>
      <c r="T87" s="12">
        <f>INDEX('01_Benchmark_Input'!$H$2:$H$10,MATCH(B87,'01_Benchmark_Input'!$A$2:$A$10,0))</f>
        <v/>
      </c>
      <c r="U87" s="12">
        <f>INDEX('01_Benchmark_Input'!$J$2:$J$10,MATCH(B87,'01_Benchmark_Input'!$A$2:$A$10,0))</f>
        <v/>
      </c>
      <c r="V87" s="10">
        <f>'02_Inputs'!K87</f>
        <v/>
      </c>
      <c r="W87" s="12">
        <f>N87*R87+O87*S87+P87*T87+Q87*U87</f>
        <v/>
      </c>
      <c r="X87" s="12">
        <f>W87*V87</f>
        <v/>
      </c>
      <c r="Y87" s="12">
        <f>L87*1000*X87*86400</f>
        <v/>
      </c>
      <c r="Z87" s="12">
        <f>Y87*365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'02_GPU_Mix_Input'!D88</f>
        <v/>
      </c>
      <c r="O88" s="10">
        <f>'02_GPU_Mix_Input'!E88</f>
        <v/>
      </c>
      <c r="P88" s="10">
        <f>'02_GPU_Mix_Input'!F88</f>
        <v/>
      </c>
      <c r="Q88" s="10">
        <f>'02_GPU_Mix_Input'!G88</f>
        <v/>
      </c>
      <c r="R88" s="12">
        <f>INDEX('01_Benchmark_Input'!$D$2:$D$10,MATCH(B88,'01_Benchmark_Input'!$A$2:$A$10,0))</f>
        <v/>
      </c>
      <c r="S88" s="12">
        <f>INDEX('01_Benchmark_Input'!$F$2:$F$10,MATCH(B88,'01_Benchmark_Input'!$A$2:$A$10,0))</f>
        <v/>
      </c>
      <c r="T88" s="12">
        <f>INDEX('01_Benchmark_Input'!$H$2:$H$10,MATCH(B88,'01_Benchmark_Input'!$A$2:$A$10,0))</f>
        <v/>
      </c>
      <c r="U88" s="12">
        <f>INDEX('01_Benchmark_Input'!$J$2:$J$10,MATCH(B88,'01_Benchmark_Input'!$A$2:$A$10,0))</f>
        <v/>
      </c>
      <c r="V88" s="10">
        <f>'02_Inputs'!K88</f>
        <v/>
      </c>
      <c r="W88" s="12">
        <f>N88*R88+O88*S88+P88*T88+Q88*U88</f>
        <v/>
      </c>
      <c r="X88" s="12">
        <f>W88*V88</f>
        <v/>
      </c>
      <c r="Y88" s="12">
        <f>L88*1000*X88*86400</f>
        <v/>
      </c>
      <c r="Z88" s="12">
        <f>Y88*365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'02_GPU_Mix_Input'!D89</f>
        <v/>
      </c>
      <c r="O89" s="10">
        <f>'02_GPU_Mix_Input'!E89</f>
        <v/>
      </c>
      <c r="P89" s="10">
        <f>'02_GPU_Mix_Input'!F89</f>
        <v/>
      </c>
      <c r="Q89" s="10">
        <f>'02_GPU_Mix_Input'!G89</f>
        <v/>
      </c>
      <c r="R89" s="12">
        <f>INDEX('01_Benchmark_Input'!$D$2:$D$10,MATCH(B89,'01_Benchmark_Input'!$A$2:$A$10,0))</f>
        <v/>
      </c>
      <c r="S89" s="12">
        <f>INDEX('01_Benchmark_Input'!$F$2:$F$10,MATCH(B89,'01_Benchmark_Input'!$A$2:$A$10,0))</f>
        <v/>
      </c>
      <c r="T89" s="12">
        <f>INDEX('01_Benchmark_Input'!$H$2:$H$10,MATCH(B89,'01_Benchmark_Input'!$A$2:$A$10,0))</f>
        <v/>
      </c>
      <c r="U89" s="12">
        <f>INDEX('01_Benchmark_Input'!$J$2:$J$10,MATCH(B89,'01_Benchmark_Input'!$A$2:$A$10,0))</f>
        <v/>
      </c>
      <c r="V89" s="10">
        <f>'02_Inputs'!K89</f>
        <v/>
      </c>
      <c r="W89" s="12">
        <f>N89*R89+O89*S89+P89*T89+Q89*U89</f>
        <v/>
      </c>
      <c r="X89" s="12">
        <f>W89*V89</f>
        <v/>
      </c>
      <c r="Y89" s="12">
        <f>L89*1000*X89*86400</f>
        <v/>
      </c>
      <c r="Z89" s="12">
        <f>Y89*365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'02_GPU_Mix_Input'!D90</f>
        <v/>
      </c>
      <c r="O90" s="10">
        <f>'02_GPU_Mix_Input'!E90</f>
        <v/>
      </c>
      <c r="P90" s="10">
        <f>'02_GPU_Mix_Input'!F90</f>
        <v/>
      </c>
      <c r="Q90" s="10">
        <f>'02_GPU_Mix_Input'!G90</f>
        <v/>
      </c>
      <c r="R90" s="12">
        <f>INDEX('01_Benchmark_Input'!$D$2:$D$10,MATCH(B90,'01_Benchmark_Input'!$A$2:$A$10,0))</f>
        <v/>
      </c>
      <c r="S90" s="12">
        <f>INDEX('01_Benchmark_Input'!$F$2:$F$10,MATCH(B90,'01_Benchmark_Input'!$A$2:$A$10,0))</f>
        <v/>
      </c>
      <c r="T90" s="12">
        <f>INDEX('01_Benchmark_Input'!$H$2:$H$10,MATCH(B90,'01_Benchmark_Input'!$A$2:$A$10,0))</f>
        <v/>
      </c>
      <c r="U90" s="12">
        <f>INDEX('01_Benchmark_Input'!$J$2:$J$10,MATCH(B90,'01_Benchmark_Input'!$A$2:$A$10,0))</f>
        <v/>
      </c>
      <c r="V90" s="10">
        <f>'02_Inputs'!K90</f>
        <v/>
      </c>
      <c r="W90" s="12">
        <f>N90*R90+O90*S90+P90*T90+Q90*U90</f>
        <v/>
      </c>
      <c r="X90" s="12">
        <f>W90*V90</f>
        <v/>
      </c>
      <c r="Y90" s="12">
        <f>L90*1000*X90*86400</f>
        <v/>
      </c>
      <c r="Z90" s="12">
        <f>Y90*365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'02_GPU_Mix_Input'!D91</f>
        <v/>
      </c>
      <c r="O91" s="10">
        <f>'02_GPU_Mix_Input'!E91</f>
        <v/>
      </c>
      <c r="P91" s="10">
        <f>'02_GPU_Mix_Input'!F91</f>
        <v/>
      </c>
      <c r="Q91" s="10">
        <f>'02_GPU_Mix_Input'!G91</f>
        <v/>
      </c>
      <c r="R91" s="12">
        <f>INDEX('01_Benchmark_Input'!$D$2:$D$10,MATCH(B91,'01_Benchmark_Input'!$A$2:$A$10,0))</f>
        <v/>
      </c>
      <c r="S91" s="12">
        <f>INDEX('01_Benchmark_Input'!$F$2:$F$10,MATCH(B91,'01_Benchmark_Input'!$A$2:$A$10,0))</f>
        <v/>
      </c>
      <c r="T91" s="12">
        <f>INDEX('01_Benchmark_Input'!$H$2:$H$10,MATCH(B91,'01_Benchmark_Input'!$A$2:$A$10,0))</f>
        <v/>
      </c>
      <c r="U91" s="12">
        <f>INDEX('01_Benchmark_Input'!$J$2:$J$10,MATCH(B91,'01_Benchmark_Input'!$A$2:$A$10,0))</f>
        <v/>
      </c>
      <c r="V91" s="10">
        <f>'02_Inputs'!K91</f>
        <v/>
      </c>
      <c r="W91" s="12">
        <f>N91*R91+O91*S91+P91*T91+Q91*U91</f>
        <v/>
      </c>
      <c r="X91" s="12">
        <f>W91*V91</f>
        <v/>
      </c>
      <c r="Y91" s="12">
        <f>L91*1000*X91*86400</f>
        <v/>
      </c>
      <c r="Z91" s="12">
        <f>Y91*365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'02_GPU_Mix_Input'!D92</f>
        <v/>
      </c>
      <c r="O92" s="10">
        <f>'02_GPU_Mix_Input'!E92</f>
        <v/>
      </c>
      <c r="P92" s="10">
        <f>'02_GPU_Mix_Input'!F92</f>
        <v/>
      </c>
      <c r="Q92" s="10">
        <f>'02_GPU_Mix_Input'!G92</f>
        <v/>
      </c>
      <c r="R92" s="12">
        <f>INDEX('01_Benchmark_Input'!$D$2:$D$10,MATCH(B92,'01_Benchmark_Input'!$A$2:$A$10,0))</f>
        <v/>
      </c>
      <c r="S92" s="12">
        <f>INDEX('01_Benchmark_Input'!$F$2:$F$10,MATCH(B92,'01_Benchmark_Input'!$A$2:$A$10,0))</f>
        <v/>
      </c>
      <c r="T92" s="12">
        <f>INDEX('01_Benchmark_Input'!$H$2:$H$10,MATCH(B92,'01_Benchmark_Input'!$A$2:$A$10,0))</f>
        <v/>
      </c>
      <c r="U92" s="12">
        <f>INDEX('01_Benchmark_Input'!$J$2:$J$10,MATCH(B92,'01_Benchmark_Input'!$A$2:$A$10,0))</f>
        <v/>
      </c>
      <c r="V92" s="10">
        <f>'02_Inputs'!K92</f>
        <v/>
      </c>
      <c r="W92" s="12">
        <f>N92*R92+O92*S92+P92*T92+Q92*U92</f>
        <v/>
      </c>
      <c r="X92" s="12">
        <f>W92*V92</f>
        <v/>
      </c>
      <c r="Y92" s="12">
        <f>L92*1000*X92*86400</f>
        <v/>
      </c>
      <c r="Z92" s="12">
        <f>Y92*365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'02_GPU_Mix_Input'!D93</f>
        <v/>
      </c>
      <c r="O93" s="10">
        <f>'02_GPU_Mix_Input'!E93</f>
        <v/>
      </c>
      <c r="P93" s="10">
        <f>'02_GPU_Mix_Input'!F93</f>
        <v/>
      </c>
      <c r="Q93" s="10">
        <f>'02_GPU_Mix_Input'!G93</f>
        <v/>
      </c>
      <c r="R93" s="12">
        <f>INDEX('01_Benchmark_Input'!$D$2:$D$10,MATCH(B93,'01_Benchmark_Input'!$A$2:$A$10,0))</f>
        <v/>
      </c>
      <c r="S93" s="12">
        <f>INDEX('01_Benchmark_Input'!$F$2:$F$10,MATCH(B93,'01_Benchmark_Input'!$A$2:$A$10,0))</f>
        <v/>
      </c>
      <c r="T93" s="12">
        <f>INDEX('01_Benchmark_Input'!$H$2:$H$10,MATCH(B93,'01_Benchmark_Input'!$A$2:$A$10,0))</f>
        <v/>
      </c>
      <c r="U93" s="12">
        <f>INDEX('01_Benchmark_Input'!$J$2:$J$10,MATCH(B93,'01_Benchmark_Input'!$A$2:$A$10,0))</f>
        <v/>
      </c>
      <c r="V93" s="10">
        <f>'02_Inputs'!K93</f>
        <v/>
      </c>
      <c r="W93" s="12">
        <f>N93*R93+O93*S93+P93*T93+Q93*U93</f>
        <v/>
      </c>
      <c r="X93" s="12">
        <f>W93*V93</f>
        <v/>
      </c>
      <c r="Y93" s="12">
        <f>L93*1000*X93*86400</f>
        <v/>
      </c>
      <c r="Z93" s="12">
        <f>Y93*365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'02_GPU_Mix_Input'!D94</f>
        <v/>
      </c>
      <c r="O94" s="10">
        <f>'02_GPU_Mix_Input'!E94</f>
        <v/>
      </c>
      <c r="P94" s="10">
        <f>'02_GPU_Mix_Input'!F94</f>
        <v/>
      </c>
      <c r="Q94" s="10">
        <f>'02_GPU_Mix_Input'!G94</f>
        <v/>
      </c>
      <c r="R94" s="12">
        <f>INDEX('01_Benchmark_Input'!$D$2:$D$10,MATCH(B94,'01_Benchmark_Input'!$A$2:$A$10,0))</f>
        <v/>
      </c>
      <c r="S94" s="12">
        <f>INDEX('01_Benchmark_Input'!$F$2:$F$10,MATCH(B94,'01_Benchmark_Input'!$A$2:$A$10,0))</f>
        <v/>
      </c>
      <c r="T94" s="12">
        <f>INDEX('01_Benchmark_Input'!$H$2:$H$10,MATCH(B94,'01_Benchmark_Input'!$A$2:$A$10,0))</f>
        <v/>
      </c>
      <c r="U94" s="12">
        <f>INDEX('01_Benchmark_Input'!$J$2:$J$10,MATCH(B94,'01_Benchmark_Input'!$A$2:$A$10,0))</f>
        <v/>
      </c>
      <c r="V94" s="10">
        <f>'02_Inputs'!K94</f>
        <v/>
      </c>
      <c r="W94" s="12">
        <f>N94*R94+O94*S94+P94*T94+Q94*U94</f>
        <v/>
      </c>
      <c r="X94" s="12">
        <f>W94*V94</f>
        <v/>
      </c>
      <c r="Y94" s="12">
        <f>L94*1000*X94*86400</f>
        <v/>
      </c>
      <c r="Z94" s="12">
        <f>Y94*365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'02_GPU_Mix_Input'!D95</f>
        <v/>
      </c>
      <c r="O95" s="10">
        <f>'02_GPU_Mix_Input'!E95</f>
        <v/>
      </c>
      <c r="P95" s="10">
        <f>'02_GPU_Mix_Input'!F95</f>
        <v/>
      </c>
      <c r="Q95" s="10">
        <f>'02_GPU_Mix_Input'!G95</f>
        <v/>
      </c>
      <c r="R95" s="12">
        <f>INDEX('01_Benchmark_Input'!$D$2:$D$10,MATCH(B95,'01_Benchmark_Input'!$A$2:$A$10,0))</f>
        <v/>
      </c>
      <c r="S95" s="12">
        <f>INDEX('01_Benchmark_Input'!$F$2:$F$10,MATCH(B95,'01_Benchmark_Input'!$A$2:$A$10,0))</f>
        <v/>
      </c>
      <c r="T95" s="12">
        <f>INDEX('01_Benchmark_Input'!$H$2:$H$10,MATCH(B95,'01_Benchmark_Input'!$A$2:$A$10,0))</f>
        <v/>
      </c>
      <c r="U95" s="12">
        <f>INDEX('01_Benchmark_Input'!$J$2:$J$10,MATCH(B95,'01_Benchmark_Input'!$A$2:$A$10,0))</f>
        <v/>
      </c>
      <c r="V95" s="10">
        <f>'02_Inputs'!K95</f>
        <v/>
      </c>
      <c r="W95" s="12">
        <f>N95*R95+O95*S95+P95*T95+Q95*U95</f>
        <v/>
      </c>
      <c r="X95" s="12">
        <f>W95*V95</f>
        <v/>
      </c>
      <c r="Y95" s="12">
        <f>L95*1000*X95*86400</f>
        <v/>
      </c>
      <c r="Z95" s="12">
        <f>Y95*365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'02_GPU_Mix_Input'!D96</f>
        <v/>
      </c>
      <c r="O96" s="10">
        <f>'02_GPU_Mix_Input'!E96</f>
        <v/>
      </c>
      <c r="P96" s="10">
        <f>'02_GPU_Mix_Input'!F96</f>
        <v/>
      </c>
      <c r="Q96" s="10">
        <f>'02_GPU_Mix_Input'!G96</f>
        <v/>
      </c>
      <c r="R96" s="12">
        <f>INDEX('01_Benchmark_Input'!$D$2:$D$10,MATCH(B96,'01_Benchmark_Input'!$A$2:$A$10,0))</f>
        <v/>
      </c>
      <c r="S96" s="12">
        <f>INDEX('01_Benchmark_Input'!$F$2:$F$10,MATCH(B96,'01_Benchmark_Input'!$A$2:$A$10,0))</f>
        <v/>
      </c>
      <c r="T96" s="12">
        <f>INDEX('01_Benchmark_Input'!$H$2:$H$10,MATCH(B96,'01_Benchmark_Input'!$A$2:$A$10,0))</f>
        <v/>
      </c>
      <c r="U96" s="12">
        <f>INDEX('01_Benchmark_Input'!$J$2:$J$10,MATCH(B96,'01_Benchmark_Input'!$A$2:$A$10,0))</f>
        <v/>
      </c>
      <c r="V96" s="10">
        <f>'02_Inputs'!K96</f>
        <v/>
      </c>
      <c r="W96" s="12">
        <f>N96*R96+O96*S96+P96*T96+Q96*U96</f>
        <v/>
      </c>
      <c r="X96" s="12">
        <f>W96*V96</f>
        <v/>
      </c>
      <c r="Y96" s="12">
        <f>L96*1000*X96*86400</f>
        <v/>
      </c>
      <c r="Z96" s="12">
        <f>Y96*365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'02_GPU_Mix_Input'!D97</f>
        <v/>
      </c>
      <c r="O97" s="10">
        <f>'02_GPU_Mix_Input'!E97</f>
        <v/>
      </c>
      <c r="P97" s="10">
        <f>'02_GPU_Mix_Input'!F97</f>
        <v/>
      </c>
      <c r="Q97" s="10">
        <f>'02_GPU_Mix_Input'!G97</f>
        <v/>
      </c>
      <c r="R97" s="12">
        <f>INDEX('01_Benchmark_Input'!$D$2:$D$10,MATCH(B97,'01_Benchmark_Input'!$A$2:$A$10,0))</f>
        <v/>
      </c>
      <c r="S97" s="12">
        <f>INDEX('01_Benchmark_Input'!$F$2:$F$10,MATCH(B97,'01_Benchmark_Input'!$A$2:$A$10,0))</f>
        <v/>
      </c>
      <c r="T97" s="12">
        <f>INDEX('01_Benchmark_Input'!$H$2:$H$10,MATCH(B97,'01_Benchmark_Input'!$A$2:$A$10,0))</f>
        <v/>
      </c>
      <c r="U97" s="12">
        <f>INDEX('01_Benchmark_Input'!$J$2:$J$10,MATCH(B97,'01_Benchmark_Input'!$A$2:$A$10,0))</f>
        <v/>
      </c>
      <c r="V97" s="10">
        <f>'02_Inputs'!K97</f>
        <v/>
      </c>
      <c r="W97" s="12">
        <f>N97*R97+O97*S97+P97*T97+Q97*U97</f>
        <v/>
      </c>
      <c r="X97" s="12">
        <f>W97*V97</f>
        <v/>
      </c>
      <c r="Y97" s="12">
        <f>L97*1000*X97*86400</f>
        <v/>
      </c>
      <c r="Z97" s="12">
        <f>Y97*365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'02_GPU_Mix_Input'!D98</f>
        <v/>
      </c>
      <c r="O98" s="10">
        <f>'02_GPU_Mix_Input'!E98</f>
        <v/>
      </c>
      <c r="P98" s="10">
        <f>'02_GPU_Mix_Input'!F98</f>
        <v/>
      </c>
      <c r="Q98" s="10">
        <f>'02_GPU_Mix_Input'!G98</f>
        <v/>
      </c>
      <c r="R98" s="12">
        <f>INDEX('01_Benchmark_Input'!$D$2:$D$10,MATCH(B98,'01_Benchmark_Input'!$A$2:$A$10,0))</f>
        <v/>
      </c>
      <c r="S98" s="12">
        <f>INDEX('01_Benchmark_Input'!$F$2:$F$10,MATCH(B98,'01_Benchmark_Input'!$A$2:$A$10,0))</f>
        <v/>
      </c>
      <c r="T98" s="12">
        <f>INDEX('01_Benchmark_Input'!$H$2:$H$10,MATCH(B98,'01_Benchmark_Input'!$A$2:$A$10,0))</f>
        <v/>
      </c>
      <c r="U98" s="12">
        <f>INDEX('01_Benchmark_Input'!$J$2:$J$10,MATCH(B98,'01_Benchmark_Input'!$A$2:$A$10,0))</f>
        <v/>
      </c>
      <c r="V98" s="10">
        <f>'02_Inputs'!K98</f>
        <v/>
      </c>
      <c r="W98" s="12">
        <f>N98*R98+O98*S98+P98*T98+Q98*U98</f>
        <v/>
      </c>
      <c r="X98" s="12">
        <f>W98*V98</f>
        <v/>
      </c>
      <c r="Y98" s="12">
        <f>L98*1000*X98*86400</f>
        <v/>
      </c>
      <c r="Z98" s="12">
        <f>Y98*365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'02_GPU_Mix_Input'!D99</f>
        <v/>
      </c>
      <c r="O99" s="10">
        <f>'02_GPU_Mix_Input'!E99</f>
        <v/>
      </c>
      <c r="P99" s="10">
        <f>'02_GPU_Mix_Input'!F99</f>
        <v/>
      </c>
      <c r="Q99" s="10">
        <f>'02_GPU_Mix_Input'!G99</f>
        <v/>
      </c>
      <c r="R99" s="12">
        <f>INDEX('01_Benchmark_Input'!$D$2:$D$10,MATCH(B99,'01_Benchmark_Input'!$A$2:$A$10,0))</f>
        <v/>
      </c>
      <c r="S99" s="12">
        <f>INDEX('01_Benchmark_Input'!$F$2:$F$10,MATCH(B99,'01_Benchmark_Input'!$A$2:$A$10,0))</f>
        <v/>
      </c>
      <c r="T99" s="12">
        <f>INDEX('01_Benchmark_Input'!$H$2:$H$10,MATCH(B99,'01_Benchmark_Input'!$A$2:$A$10,0))</f>
        <v/>
      </c>
      <c r="U99" s="12">
        <f>INDEX('01_Benchmark_Input'!$J$2:$J$10,MATCH(B99,'01_Benchmark_Input'!$A$2:$A$10,0))</f>
        <v/>
      </c>
      <c r="V99" s="10">
        <f>'02_Inputs'!K99</f>
        <v/>
      </c>
      <c r="W99" s="12">
        <f>N99*R99+O99*S99+P99*T99+Q99*U99</f>
        <v/>
      </c>
      <c r="X99" s="12">
        <f>W99*V99</f>
        <v/>
      </c>
      <c r="Y99" s="12">
        <f>L99*1000*X99*86400</f>
        <v/>
      </c>
      <c r="Z99" s="12">
        <f>Y99*365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'02_GPU_Mix_Input'!D100</f>
        <v/>
      </c>
      <c r="O100" s="10">
        <f>'02_GPU_Mix_Input'!E100</f>
        <v/>
      </c>
      <c r="P100" s="10">
        <f>'02_GPU_Mix_Input'!F100</f>
        <v/>
      </c>
      <c r="Q100" s="10">
        <f>'02_GPU_Mix_Input'!G100</f>
        <v/>
      </c>
      <c r="R100" s="12">
        <f>INDEX('01_Benchmark_Input'!$D$2:$D$10,MATCH(B100,'01_Benchmark_Input'!$A$2:$A$10,0))</f>
        <v/>
      </c>
      <c r="S100" s="12">
        <f>INDEX('01_Benchmark_Input'!$F$2:$F$10,MATCH(B100,'01_Benchmark_Input'!$A$2:$A$10,0))</f>
        <v/>
      </c>
      <c r="T100" s="12">
        <f>INDEX('01_Benchmark_Input'!$H$2:$H$10,MATCH(B100,'01_Benchmark_Input'!$A$2:$A$10,0))</f>
        <v/>
      </c>
      <c r="U100" s="12">
        <f>INDEX('01_Benchmark_Input'!$J$2:$J$10,MATCH(B100,'01_Benchmark_Input'!$A$2:$A$10,0))</f>
        <v/>
      </c>
      <c r="V100" s="10">
        <f>'02_Inputs'!K100</f>
        <v/>
      </c>
      <c r="W100" s="12">
        <f>N100*R100+O100*S100+P100*T100+Q100*U100</f>
        <v/>
      </c>
      <c r="X100" s="12">
        <f>W100*V100</f>
        <v/>
      </c>
      <c r="Y100" s="12">
        <f>L100*1000*X100*86400</f>
        <v/>
      </c>
      <c r="Z100" s="12">
        <f>Y100*365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'02_GPU_Mix_Input'!D101</f>
        <v/>
      </c>
      <c r="O101" s="10">
        <f>'02_GPU_Mix_Input'!E101</f>
        <v/>
      </c>
      <c r="P101" s="10">
        <f>'02_GPU_Mix_Input'!F101</f>
        <v/>
      </c>
      <c r="Q101" s="10">
        <f>'02_GPU_Mix_Input'!G101</f>
        <v/>
      </c>
      <c r="R101" s="12">
        <f>INDEX('01_Benchmark_Input'!$D$2:$D$10,MATCH(B101,'01_Benchmark_Input'!$A$2:$A$10,0))</f>
        <v/>
      </c>
      <c r="S101" s="12">
        <f>INDEX('01_Benchmark_Input'!$F$2:$F$10,MATCH(B101,'01_Benchmark_Input'!$A$2:$A$10,0))</f>
        <v/>
      </c>
      <c r="T101" s="12">
        <f>INDEX('01_Benchmark_Input'!$H$2:$H$10,MATCH(B101,'01_Benchmark_Input'!$A$2:$A$10,0))</f>
        <v/>
      </c>
      <c r="U101" s="12">
        <f>INDEX('01_Benchmark_Input'!$J$2:$J$10,MATCH(B101,'01_Benchmark_Input'!$A$2:$A$10,0))</f>
        <v/>
      </c>
      <c r="V101" s="10">
        <f>'02_Inputs'!K101</f>
        <v/>
      </c>
      <c r="W101" s="12">
        <f>N101*R101+O101*S101+P101*T101+Q101*U101</f>
        <v/>
      </c>
      <c r="X101" s="12">
        <f>W101*V101</f>
        <v/>
      </c>
      <c r="Y101" s="12">
        <f>L101*1000*X101*86400</f>
        <v/>
      </c>
      <c r="Z101" s="12">
        <f>Y101*365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'02_GPU_Mix_Input'!D102</f>
        <v/>
      </c>
      <c r="O102" s="10">
        <f>'02_GPU_Mix_Input'!E102</f>
        <v/>
      </c>
      <c r="P102" s="10">
        <f>'02_GPU_Mix_Input'!F102</f>
        <v/>
      </c>
      <c r="Q102" s="10">
        <f>'02_GPU_Mix_Input'!G102</f>
        <v/>
      </c>
      <c r="R102" s="12">
        <f>INDEX('01_Benchmark_Input'!$D$2:$D$10,MATCH(B102,'01_Benchmark_Input'!$A$2:$A$10,0))</f>
        <v/>
      </c>
      <c r="S102" s="12">
        <f>INDEX('01_Benchmark_Input'!$F$2:$F$10,MATCH(B102,'01_Benchmark_Input'!$A$2:$A$10,0))</f>
        <v/>
      </c>
      <c r="T102" s="12">
        <f>INDEX('01_Benchmark_Input'!$H$2:$H$10,MATCH(B102,'01_Benchmark_Input'!$A$2:$A$10,0))</f>
        <v/>
      </c>
      <c r="U102" s="12">
        <f>INDEX('01_Benchmark_Input'!$J$2:$J$10,MATCH(B102,'01_Benchmark_Input'!$A$2:$A$10,0))</f>
        <v/>
      </c>
      <c r="V102" s="10">
        <f>'02_Inputs'!K102</f>
        <v/>
      </c>
      <c r="W102" s="12">
        <f>N102*R102+O102*S102+P102*T102+Q102*U102</f>
        <v/>
      </c>
      <c r="X102" s="12">
        <f>W102*V102</f>
        <v/>
      </c>
      <c r="Y102" s="12">
        <f>L102*1000*X102*86400</f>
        <v/>
      </c>
      <c r="Z102" s="12">
        <f>Y102*365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'02_GPU_Mix_Input'!D103</f>
        <v/>
      </c>
      <c r="O103" s="10">
        <f>'02_GPU_Mix_Input'!E103</f>
        <v/>
      </c>
      <c r="P103" s="10">
        <f>'02_GPU_Mix_Input'!F103</f>
        <v/>
      </c>
      <c r="Q103" s="10">
        <f>'02_GPU_Mix_Input'!G103</f>
        <v/>
      </c>
      <c r="R103" s="12">
        <f>INDEX('01_Benchmark_Input'!$D$2:$D$10,MATCH(B103,'01_Benchmark_Input'!$A$2:$A$10,0))</f>
        <v/>
      </c>
      <c r="S103" s="12">
        <f>INDEX('01_Benchmark_Input'!$F$2:$F$10,MATCH(B103,'01_Benchmark_Input'!$A$2:$A$10,0))</f>
        <v/>
      </c>
      <c r="T103" s="12">
        <f>INDEX('01_Benchmark_Input'!$H$2:$H$10,MATCH(B103,'01_Benchmark_Input'!$A$2:$A$10,0))</f>
        <v/>
      </c>
      <c r="U103" s="12">
        <f>INDEX('01_Benchmark_Input'!$J$2:$J$10,MATCH(B103,'01_Benchmark_Input'!$A$2:$A$10,0))</f>
        <v/>
      </c>
      <c r="V103" s="10">
        <f>'02_Inputs'!K103</f>
        <v/>
      </c>
      <c r="W103" s="12">
        <f>N103*R103+O103*S103+P103*T103+Q103*U103</f>
        <v/>
      </c>
      <c r="X103" s="12">
        <f>W103*V103</f>
        <v/>
      </c>
      <c r="Y103" s="12">
        <f>L103*1000*X103*86400</f>
        <v/>
      </c>
      <c r="Z103" s="12">
        <f>Y103*365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'02_GPU_Mix_Input'!D104</f>
        <v/>
      </c>
      <c r="O104" s="10">
        <f>'02_GPU_Mix_Input'!E104</f>
        <v/>
      </c>
      <c r="P104" s="10">
        <f>'02_GPU_Mix_Input'!F104</f>
        <v/>
      </c>
      <c r="Q104" s="10">
        <f>'02_GPU_Mix_Input'!G104</f>
        <v/>
      </c>
      <c r="R104" s="12">
        <f>INDEX('01_Benchmark_Input'!$D$2:$D$10,MATCH(B104,'01_Benchmark_Input'!$A$2:$A$10,0))</f>
        <v/>
      </c>
      <c r="S104" s="12">
        <f>INDEX('01_Benchmark_Input'!$F$2:$F$10,MATCH(B104,'01_Benchmark_Input'!$A$2:$A$10,0))</f>
        <v/>
      </c>
      <c r="T104" s="12">
        <f>INDEX('01_Benchmark_Input'!$H$2:$H$10,MATCH(B104,'01_Benchmark_Input'!$A$2:$A$10,0))</f>
        <v/>
      </c>
      <c r="U104" s="12">
        <f>INDEX('01_Benchmark_Input'!$J$2:$J$10,MATCH(B104,'01_Benchmark_Input'!$A$2:$A$10,0))</f>
        <v/>
      </c>
      <c r="V104" s="10">
        <f>'02_Inputs'!K104</f>
        <v/>
      </c>
      <c r="W104" s="12">
        <f>N104*R104+O104*S104+P104*T104+Q104*U104</f>
        <v/>
      </c>
      <c r="X104" s="12">
        <f>W104*V104</f>
        <v/>
      </c>
      <c r="Y104" s="12">
        <f>L104*1000*X104*86400</f>
        <v/>
      </c>
      <c r="Z104" s="12">
        <f>Y104*365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'02_GPU_Mix_Input'!D105</f>
        <v/>
      </c>
      <c r="O105" s="10">
        <f>'02_GPU_Mix_Input'!E105</f>
        <v/>
      </c>
      <c r="P105" s="10">
        <f>'02_GPU_Mix_Input'!F105</f>
        <v/>
      </c>
      <c r="Q105" s="10">
        <f>'02_GPU_Mix_Input'!G105</f>
        <v/>
      </c>
      <c r="R105" s="12">
        <f>INDEX('01_Benchmark_Input'!$D$2:$D$10,MATCH(B105,'01_Benchmark_Input'!$A$2:$A$10,0))</f>
        <v/>
      </c>
      <c r="S105" s="12">
        <f>INDEX('01_Benchmark_Input'!$F$2:$F$10,MATCH(B105,'01_Benchmark_Input'!$A$2:$A$10,0))</f>
        <v/>
      </c>
      <c r="T105" s="12">
        <f>INDEX('01_Benchmark_Input'!$H$2:$H$10,MATCH(B105,'01_Benchmark_Input'!$A$2:$A$10,0))</f>
        <v/>
      </c>
      <c r="U105" s="12">
        <f>INDEX('01_Benchmark_Input'!$J$2:$J$10,MATCH(B105,'01_Benchmark_Input'!$A$2:$A$10,0))</f>
        <v/>
      </c>
      <c r="V105" s="10">
        <f>'02_Inputs'!K105</f>
        <v/>
      </c>
      <c r="W105" s="12">
        <f>N105*R105+O105*S105+P105*T105+Q105*U105</f>
        <v/>
      </c>
      <c r="X105" s="12">
        <f>W105*V105</f>
        <v/>
      </c>
      <c r="Y105" s="12">
        <f>L105*1000*X105*86400</f>
        <v/>
      </c>
      <c r="Z105" s="12">
        <f>Y105*365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'02_GPU_Mix_Input'!D106</f>
        <v/>
      </c>
      <c r="O106" s="10">
        <f>'02_GPU_Mix_Input'!E106</f>
        <v/>
      </c>
      <c r="P106" s="10">
        <f>'02_GPU_Mix_Input'!F106</f>
        <v/>
      </c>
      <c r="Q106" s="10">
        <f>'02_GPU_Mix_Input'!G106</f>
        <v/>
      </c>
      <c r="R106" s="12">
        <f>INDEX('01_Benchmark_Input'!$D$2:$D$10,MATCH(B106,'01_Benchmark_Input'!$A$2:$A$10,0))</f>
        <v/>
      </c>
      <c r="S106" s="12">
        <f>INDEX('01_Benchmark_Input'!$F$2:$F$10,MATCH(B106,'01_Benchmark_Input'!$A$2:$A$10,0))</f>
        <v/>
      </c>
      <c r="T106" s="12">
        <f>INDEX('01_Benchmark_Input'!$H$2:$H$10,MATCH(B106,'01_Benchmark_Input'!$A$2:$A$10,0))</f>
        <v/>
      </c>
      <c r="U106" s="12">
        <f>INDEX('01_Benchmark_Input'!$J$2:$J$10,MATCH(B106,'01_Benchmark_Input'!$A$2:$A$10,0))</f>
        <v/>
      </c>
      <c r="V106" s="10">
        <f>'02_Inputs'!K106</f>
        <v/>
      </c>
      <c r="W106" s="12">
        <f>N106*R106+O106*S106+P106*T106+Q106*U106</f>
        <v/>
      </c>
      <c r="X106" s="12">
        <f>W106*V106</f>
        <v/>
      </c>
      <c r="Y106" s="12">
        <f>L106*1000*X106*86400</f>
        <v/>
      </c>
      <c r="Z106" s="12">
        <f>Y106*365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'02_GPU_Mix_Input'!D107</f>
        <v/>
      </c>
      <c r="O107" s="10">
        <f>'02_GPU_Mix_Input'!E107</f>
        <v/>
      </c>
      <c r="P107" s="10">
        <f>'02_GPU_Mix_Input'!F107</f>
        <v/>
      </c>
      <c r="Q107" s="10">
        <f>'02_GPU_Mix_Input'!G107</f>
        <v/>
      </c>
      <c r="R107" s="12">
        <f>INDEX('01_Benchmark_Input'!$D$2:$D$10,MATCH(B107,'01_Benchmark_Input'!$A$2:$A$10,0))</f>
        <v/>
      </c>
      <c r="S107" s="12">
        <f>INDEX('01_Benchmark_Input'!$F$2:$F$10,MATCH(B107,'01_Benchmark_Input'!$A$2:$A$10,0))</f>
        <v/>
      </c>
      <c r="T107" s="12">
        <f>INDEX('01_Benchmark_Input'!$H$2:$H$10,MATCH(B107,'01_Benchmark_Input'!$A$2:$A$10,0))</f>
        <v/>
      </c>
      <c r="U107" s="12">
        <f>INDEX('01_Benchmark_Input'!$J$2:$J$10,MATCH(B107,'01_Benchmark_Input'!$A$2:$A$10,0))</f>
        <v/>
      </c>
      <c r="V107" s="10">
        <f>'02_Inputs'!K107</f>
        <v/>
      </c>
      <c r="W107" s="12">
        <f>N107*R107+O107*S107+P107*T107+Q107*U107</f>
        <v/>
      </c>
      <c r="X107" s="12">
        <f>W107*V107</f>
        <v/>
      </c>
      <c r="Y107" s="12">
        <f>L107*1000*X107*86400</f>
        <v/>
      </c>
      <c r="Z107" s="12">
        <f>Y107*365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'02_GPU_Mix_Input'!D108</f>
        <v/>
      </c>
      <c r="O108" s="10">
        <f>'02_GPU_Mix_Input'!E108</f>
        <v/>
      </c>
      <c r="P108" s="10">
        <f>'02_GPU_Mix_Input'!F108</f>
        <v/>
      </c>
      <c r="Q108" s="10">
        <f>'02_GPU_Mix_Input'!G108</f>
        <v/>
      </c>
      <c r="R108" s="12">
        <f>INDEX('01_Benchmark_Input'!$D$2:$D$10,MATCH(B108,'01_Benchmark_Input'!$A$2:$A$10,0))</f>
        <v/>
      </c>
      <c r="S108" s="12">
        <f>INDEX('01_Benchmark_Input'!$F$2:$F$10,MATCH(B108,'01_Benchmark_Input'!$A$2:$A$10,0))</f>
        <v/>
      </c>
      <c r="T108" s="12">
        <f>INDEX('01_Benchmark_Input'!$H$2:$H$10,MATCH(B108,'01_Benchmark_Input'!$A$2:$A$10,0))</f>
        <v/>
      </c>
      <c r="U108" s="12">
        <f>INDEX('01_Benchmark_Input'!$J$2:$J$10,MATCH(B108,'01_Benchmark_Input'!$A$2:$A$10,0))</f>
        <v/>
      </c>
      <c r="V108" s="10">
        <f>'02_Inputs'!K108</f>
        <v/>
      </c>
      <c r="W108" s="12">
        <f>N108*R108+O108*S108+P108*T108+Q108*U108</f>
        <v/>
      </c>
      <c r="X108" s="12">
        <f>W108*V108</f>
        <v/>
      </c>
      <c r="Y108" s="12">
        <f>L108*1000*X108*86400</f>
        <v/>
      </c>
      <c r="Z108" s="12">
        <f>Y108*365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'02_GPU_Mix_Input'!D109</f>
        <v/>
      </c>
      <c r="O109" s="10">
        <f>'02_GPU_Mix_Input'!E109</f>
        <v/>
      </c>
      <c r="P109" s="10">
        <f>'02_GPU_Mix_Input'!F109</f>
        <v/>
      </c>
      <c r="Q109" s="10">
        <f>'02_GPU_Mix_Input'!G109</f>
        <v/>
      </c>
      <c r="R109" s="12">
        <f>INDEX('01_Benchmark_Input'!$D$2:$D$10,MATCH(B109,'01_Benchmark_Input'!$A$2:$A$10,0))</f>
        <v/>
      </c>
      <c r="S109" s="12">
        <f>INDEX('01_Benchmark_Input'!$F$2:$F$10,MATCH(B109,'01_Benchmark_Input'!$A$2:$A$10,0))</f>
        <v/>
      </c>
      <c r="T109" s="12">
        <f>INDEX('01_Benchmark_Input'!$H$2:$H$10,MATCH(B109,'01_Benchmark_Input'!$A$2:$A$10,0))</f>
        <v/>
      </c>
      <c r="U109" s="12">
        <f>INDEX('01_Benchmark_Input'!$J$2:$J$10,MATCH(B109,'01_Benchmark_Input'!$A$2:$A$10,0))</f>
        <v/>
      </c>
      <c r="V109" s="10">
        <f>'02_Inputs'!K109</f>
        <v/>
      </c>
      <c r="W109" s="12">
        <f>N109*R109+O109*S109+P109*T109+Q109*U109</f>
        <v/>
      </c>
      <c r="X109" s="12">
        <f>W109*V109</f>
        <v/>
      </c>
      <c r="Y109" s="12">
        <f>L109*1000*X109*86400</f>
        <v/>
      </c>
      <c r="Z109" s="12">
        <f>Y109*365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'02_GPU_Mix_Input'!D110</f>
        <v/>
      </c>
      <c r="O110" s="10">
        <f>'02_GPU_Mix_Input'!E110</f>
        <v/>
      </c>
      <c r="P110" s="10">
        <f>'02_GPU_Mix_Input'!F110</f>
        <v/>
      </c>
      <c r="Q110" s="10">
        <f>'02_GPU_Mix_Input'!G110</f>
        <v/>
      </c>
      <c r="R110" s="12">
        <f>INDEX('01_Benchmark_Input'!$D$2:$D$10,MATCH(B110,'01_Benchmark_Input'!$A$2:$A$10,0))</f>
        <v/>
      </c>
      <c r="S110" s="12">
        <f>INDEX('01_Benchmark_Input'!$F$2:$F$10,MATCH(B110,'01_Benchmark_Input'!$A$2:$A$10,0))</f>
        <v/>
      </c>
      <c r="T110" s="12">
        <f>INDEX('01_Benchmark_Input'!$H$2:$H$10,MATCH(B110,'01_Benchmark_Input'!$A$2:$A$10,0))</f>
        <v/>
      </c>
      <c r="U110" s="12">
        <f>INDEX('01_Benchmark_Input'!$J$2:$J$10,MATCH(B110,'01_Benchmark_Input'!$A$2:$A$10,0))</f>
        <v/>
      </c>
      <c r="V110" s="10">
        <f>'02_Inputs'!K110</f>
        <v/>
      </c>
      <c r="W110" s="12">
        <f>N110*R110+O110*S110+P110*T110+Q110*U110</f>
        <v/>
      </c>
      <c r="X110" s="12">
        <f>W110*V110</f>
        <v/>
      </c>
      <c r="Y110" s="12">
        <f>L110*1000*X110*86400</f>
        <v/>
      </c>
      <c r="Z110" s="12">
        <f>Y110*365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'02_GPU_Mix_Input'!D111</f>
        <v/>
      </c>
      <c r="O111" s="10">
        <f>'02_GPU_Mix_Input'!E111</f>
        <v/>
      </c>
      <c r="P111" s="10">
        <f>'02_GPU_Mix_Input'!F111</f>
        <v/>
      </c>
      <c r="Q111" s="10">
        <f>'02_GPU_Mix_Input'!G111</f>
        <v/>
      </c>
      <c r="R111" s="12">
        <f>INDEX('01_Benchmark_Input'!$D$2:$D$10,MATCH(B111,'01_Benchmark_Input'!$A$2:$A$10,0))</f>
        <v/>
      </c>
      <c r="S111" s="12">
        <f>INDEX('01_Benchmark_Input'!$F$2:$F$10,MATCH(B111,'01_Benchmark_Input'!$A$2:$A$10,0))</f>
        <v/>
      </c>
      <c r="T111" s="12">
        <f>INDEX('01_Benchmark_Input'!$H$2:$H$10,MATCH(B111,'01_Benchmark_Input'!$A$2:$A$10,0))</f>
        <v/>
      </c>
      <c r="U111" s="12">
        <f>INDEX('01_Benchmark_Input'!$J$2:$J$10,MATCH(B111,'01_Benchmark_Input'!$A$2:$A$10,0))</f>
        <v/>
      </c>
      <c r="V111" s="10">
        <f>'02_Inputs'!K111</f>
        <v/>
      </c>
      <c r="W111" s="12">
        <f>N111*R111+O111*S111+P111*T111+Q111*U111</f>
        <v/>
      </c>
      <c r="X111" s="12">
        <f>W111*V111</f>
        <v/>
      </c>
      <c r="Y111" s="12">
        <f>L111*1000*X111*86400</f>
        <v/>
      </c>
      <c r="Z111" s="12">
        <f>Y111*365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'02_GPU_Mix_Input'!D112</f>
        <v/>
      </c>
      <c r="O112" s="10">
        <f>'02_GPU_Mix_Input'!E112</f>
        <v/>
      </c>
      <c r="P112" s="10">
        <f>'02_GPU_Mix_Input'!F112</f>
        <v/>
      </c>
      <c r="Q112" s="10">
        <f>'02_GPU_Mix_Input'!G112</f>
        <v/>
      </c>
      <c r="R112" s="12">
        <f>INDEX('01_Benchmark_Input'!$D$2:$D$10,MATCH(B112,'01_Benchmark_Input'!$A$2:$A$10,0))</f>
        <v/>
      </c>
      <c r="S112" s="12">
        <f>INDEX('01_Benchmark_Input'!$F$2:$F$10,MATCH(B112,'01_Benchmark_Input'!$A$2:$A$10,0))</f>
        <v/>
      </c>
      <c r="T112" s="12">
        <f>INDEX('01_Benchmark_Input'!$H$2:$H$10,MATCH(B112,'01_Benchmark_Input'!$A$2:$A$10,0))</f>
        <v/>
      </c>
      <c r="U112" s="12">
        <f>INDEX('01_Benchmark_Input'!$J$2:$J$10,MATCH(B112,'01_Benchmark_Input'!$A$2:$A$10,0))</f>
        <v/>
      </c>
      <c r="V112" s="10">
        <f>'02_Inputs'!K112</f>
        <v/>
      </c>
      <c r="W112" s="12">
        <f>N112*R112+O112*S112+P112*T112+Q112*U112</f>
        <v/>
      </c>
      <c r="X112" s="12">
        <f>W112*V112</f>
        <v/>
      </c>
      <c r="Y112" s="12">
        <f>L112*1000*X112*86400</f>
        <v/>
      </c>
      <c r="Z112" s="12">
        <f>Y112*365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'02_GPU_Mix_Input'!D113</f>
        <v/>
      </c>
      <c r="O113" s="10">
        <f>'02_GPU_Mix_Input'!E113</f>
        <v/>
      </c>
      <c r="P113" s="10">
        <f>'02_GPU_Mix_Input'!F113</f>
        <v/>
      </c>
      <c r="Q113" s="10">
        <f>'02_GPU_Mix_Input'!G113</f>
        <v/>
      </c>
      <c r="R113" s="12">
        <f>INDEX('01_Benchmark_Input'!$D$2:$D$10,MATCH(B113,'01_Benchmark_Input'!$A$2:$A$10,0))</f>
        <v/>
      </c>
      <c r="S113" s="12">
        <f>INDEX('01_Benchmark_Input'!$F$2:$F$10,MATCH(B113,'01_Benchmark_Input'!$A$2:$A$10,0))</f>
        <v/>
      </c>
      <c r="T113" s="12">
        <f>INDEX('01_Benchmark_Input'!$H$2:$H$10,MATCH(B113,'01_Benchmark_Input'!$A$2:$A$10,0))</f>
        <v/>
      </c>
      <c r="U113" s="12">
        <f>INDEX('01_Benchmark_Input'!$J$2:$J$10,MATCH(B113,'01_Benchmark_Input'!$A$2:$A$10,0))</f>
        <v/>
      </c>
      <c r="V113" s="10">
        <f>'02_Inputs'!K113</f>
        <v/>
      </c>
      <c r="W113" s="12">
        <f>N113*R113+O113*S113+P113*T113+Q113*U113</f>
        <v/>
      </c>
      <c r="X113" s="12">
        <f>W113*V113</f>
        <v/>
      </c>
      <c r="Y113" s="12">
        <f>L113*1000*X113*86400</f>
        <v/>
      </c>
      <c r="Z113" s="12">
        <f>Y113*365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'02_GPU_Mix_Input'!D114</f>
        <v/>
      </c>
      <c r="O114" s="10">
        <f>'02_GPU_Mix_Input'!E114</f>
        <v/>
      </c>
      <c r="P114" s="10">
        <f>'02_GPU_Mix_Input'!F114</f>
        <v/>
      </c>
      <c r="Q114" s="10">
        <f>'02_GPU_Mix_Input'!G114</f>
        <v/>
      </c>
      <c r="R114" s="12">
        <f>INDEX('01_Benchmark_Input'!$D$2:$D$10,MATCH(B114,'01_Benchmark_Input'!$A$2:$A$10,0))</f>
        <v/>
      </c>
      <c r="S114" s="12">
        <f>INDEX('01_Benchmark_Input'!$F$2:$F$10,MATCH(B114,'01_Benchmark_Input'!$A$2:$A$10,0))</f>
        <v/>
      </c>
      <c r="T114" s="12">
        <f>INDEX('01_Benchmark_Input'!$H$2:$H$10,MATCH(B114,'01_Benchmark_Input'!$A$2:$A$10,0))</f>
        <v/>
      </c>
      <c r="U114" s="12">
        <f>INDEX('01_Benchmark_Input'!$J$2:$J$10,MATCH(B114,'01_Benchmark_Input'!$A$2:$A$10,0))</f>
        <v/>
      </c>
      <c r="V114" s="10">
        <f>'02_Inputs'!K114</f>
        <v/>
      </c>
      <c r="W114" s="12">
        <f>N114*R114+O114*S114+P114*T114+Q114*U114</f>
        <v/>
      </c>
      <c r="X114" s="12">
        <f>W114*V114</f>
        <v/>
      </c>
      <c r="Y114" s="12">
        <f>L114*1000*X114*86400</f>
        <v/>
      </c>
      <c r="Z114" s="12">
        <f>Y114*365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'02_GPU_Mix_Input'!D115</f>
        <v/>
      </c>
      <c r="O115" s="10">
        <f>'02_GPU_Mix_Input'!E115</f>
        <v/>
      </c>
      <c r="P115" s="10">
        <f>'02_GPU_Mix_Input'!F115</f>
        <v/>
      </c>
      <c r="Q115" s="10">
        <f>'02_GPU_Mix_Input'!G115</f>
        <v/>
      </c>
      <c r="R115" s="12">
        <f>INDEX('01_Benchmark_Input'!$D$2:$D$10,MATCH(B115,'01_Benchmark_Input'!$A$2:$A$10,0))</f>
        <v/>
      </c>
      <c r="S115" s="12">
        <f>INDEX('01_Benchmark_Input'!$F$2:$F$10,MATCH(B115,'01_Benchmark_Input'!$A$2:$A$10,0))</f>
        <v/>
      </c>
      <c r="T115" s="12">
        <f>INDEX('01_Benchmark_Input'!$H$2:$H$10,MATCH(B115,'01_Benchmark_Input'!$A$2:$A$10,0))</f>
        <v/>
      </c>
      <c r="U115" s="12">
        <f>INDEX('01_Benchmark_Input'!$J$2:$J$10,MATCH(B115,'01_Benchmark_Input'!$A$2:$A$10,0))</f>
        <v/>
      </c>
      <c r="V115" s="10">
        <f>'02_Inputs'!K115</f>
        <v/>
      </c>
      <c r="W115" s="12">
        <f>N115*R115+O115*S115+P115*T115+Q115*U115</f>
        <v/>
      </c>
      <c r="X115" s="12">
        <f>W115*V115</f>
        <v/>
      </c>
      <c r="Y115" s="12">
        <f>L115*1000*X115*86400</f>
        <v/>
      </c>
      <c r="Z115" s="12">
        <f>Y115*365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'02_GPU_Mix_Input'!D116</f>
        <v/>
      </c>
      <c r="O116" s="10">
        <f>'02_GPU_Mix_Input'!E116</f>
        <v/>
      </c>
      <c r="P116" s="10">
        <f>'02_GPU_Mix_Input'!F116</f>
        <v/>
      </c>
      <c r="Q116" s="10">
        <f>'02_GPU_Mix_Input'!G116</f>
        <v/>
      </c>
      <c r="R116" s="12">
        <f>INDEX('01_Benchmark_Input'!$D$2:$D$10,MATCH(B116,'01_Benchmark_Input'!$A$2:$A$10,0))</f>
        <v/>
      </c>
      <c r="S116" s="12">
        <f>INDEX('01_Benchmark_Input'!$F$2:$F$10,MATCH(B116,'01_Benchmark_Input'!$A$2:$A$10,0))</f>
        <v/>
      </c>
      <c r="T116" s="12">
        <f>INDEX('01_Benchmark_Input'!$H$2:$H$10,MATCH(B116,'01_Benchmark_Input'!$A$2:$A$10,0))</f>
        <v/>
      </c>
      <c r="U116" s="12">
        <f>INDEX('01_Benchmark_Input'!$J$2:$J$10,MATCH(B116,'01_Benchmark_Input'!$A$2:$A$10,0))</f>
        <v/>
      </c>
      <c r="V116" s="10">
        <f>'02_Inputs'!K116</f>
        <v/>
      </c>
      <c r="W116" s="12">
        <f>N116*R116+O116*S116+P116*T116+Q116*U116</f>
        <v/>
      </c>
      <c r="X116" s="12">
        <f>W116*V116</f>
        <v/>
      </c>
      <c r="Y116" s="12">
        <f>L116*1000*X116*86400</f>
        <v/>
      </c>
      <c r="Z116" s="12">
        <f>Y116*365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'02_GPU_Mix_Input'!D117</f>
        <v/>
      </c>
      <c r="O117" s="10">
        <f>'02_GPU_Mix_Input'!E117</f>
        <v/>
      </c>
      <c r="P117" s="10">
        <f>'02_GPU_Mix_Input'!F117</f>
        <v/>
      </c>
      <c r="Q117" s="10">
        <f>'02_GPU_Mix_Input'!G117</f>
        <v/>
      </c>
      <c r="R117" s="12">
        <f>INDEX('01_Benchmark_Input'!$D$2:$D$10,MATCH(B117,'01_Benchmark_Input'!$A$2:$A$10,0))</f>
        <v/>
      </c>
      <c r="S117" s="12">
        <f>INDEX('01_Benchmark_Input'!$F$2:$F$10,MATCH(B117,'01_Benchmark_Input'!$A$2:$A$10,0))</f>
        <v/>
      </c>
      <c r="T117" s="12">
        <f>INDEX('01_Benchmark_Input'!$H$2:$H$10,MATCH(B117,'01_Benchmark_Input'!$A$2:$A$10,0))</f>
        <v/>
      </c>
      <c r="U117" s="12">
        <f>INDEX('01_Benchmark_Input'!$J$2:$J$10,MATCH(B117,'01_Benchmark_Input'!$A$2:$A$10,0))</f>
        <v/>
      </c>
      <c r="V117" s="10">
        <f>'02_Inputs'!K117</f>
        <v/>
      </c>
      <c r="W117" s="12">
        <f>N117*R117+O117*S117+P117*T117+Q117*U117</f>
        <v/>
      </c>
      <c r="X117" s="12">
        <f>W117*V117</f>
        <v/>
      </c>
      <c r="Y117" s="12">
        <f>L117*1000*X117*86400</f>
        <v/>
      </c>
      <c r="Z117" s="12">
        <f>Y117*365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'02_GPU_Mix_Input'!D118</f>
        <v/>
      </c>
      <c r="O118" s="10">
        <f>'02_GPU_Mix_Input'!E118</f>
        <v/>
      </c>
      <c r="P118" s="10">
        <f>'02_GPU_Mix_Input'!F118</f>
        <v/>
      </c>
      <c r="Q118" s="10">
        <f>'02_GPU_Mix_Input'!G118</f>
        <v/>
      </c>
      <c r="R118" s="12">
        <f>INDEX('01_Benchmark_Input'!$D$2:$D$10,MATCH(B118,'01_Benchmark_Input'!$A$2:$A$10,0))</f>
        <v/>
      </c>
      <c r="S118" s="12">
        <f>INDEX('01_Benchmark_Input'!$F$2:$F$10,MATCH(B118,'01_Benchmark_Input'!$A$2:$A$10,0))</f>
        <v/>
      </c>
      <c r="T118" s="12">
        <f>INDEX('01_Benchmark_Input'!$H$2:$H$10,MATCH(B118,'01_Benchmark_Input'!$A$2:$A$10,0))</f>
        <v/>
      </c>
      <c r="U118" s="12">
        <f>INDEX('01_Benchmark_Input'!$J$2:$J$10,MATCH(B118,'01_Benchmark_Input'!$A$2:$A$10,0))</f>
        <v/>
      </c>
      <c r="V118" s="10">
        <f>'02_Inputs'!K118</f>
        <v/>
      </c>
      <c r="W118" s="12">
        <f>N118*R118+O118*S118+P118*T118+Q118*U118</f>
        <v/>
      </c>
      <c r="X118" s="12">
        <f>W118*V118</f>
        <v/>
      </c>
      <c r="Y118" s="12">
        <f>L118*1000*X118*86400</f>
        <v/>
      </c>
      <c r="Z118" s="12">
        <f>Y118*365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'02_GPU_Mix_Input'!D119</f>
        <v/>
      </c>
      <c r="O119" s="10">
        <f>'02_GPU_Mix_Input'!E119</f>
        <v/>
      </c>
      <c r="P119" s="10">
        <f>'02_GPU_Mix_Input'!F119</f>
        <v/>
      </c>
      <c r="Q119" s="10">
        <f>'02_GPU_Mix_Input'!G119</f>
        <v/>
      </c>
      <c r="R119" s="12">
        <f>INDEX('01_Benchmark_Input'!$D$2:$D$10,MATCH(B119,'01_Benchmark_Input'!$A$2:$A$10,0))</f>
        <v/>
      </c>
      <c r="S119" s="12">
        <f>INDEX('01_Benchmark_Input'!$F$2:$F$10,MATCH(B119,'01_Benchmark_Input'!$A$2:$A$10,0))</f>
        <v/>
      </c>
      <c r="T119" s="12">
        <f>INDEX('01_Benchmark_Input'!$H$2:$H$10,MATCH(B119,'01_Benchmark_Input'!$A$2:$A$10,0))</f>
        <v/>
      </c>
      <c r="U119" s="12">
        <f>INDEX('01_Benchmark_Input'!$J$2:$J$10,MATCH(B119,'01_Benchmark_Input'!$A$2:$A$10,0))</f>
        <v/>
      </c>
      <c r="V119" s="10">
        <f>'02_Inputs'!K119</f>
        <v/>
      </c>
      <c r="W119" s="12">
        <f>N119*R119+O119*S119+P119*T119+Q119*U119</f>
        <v/>
      </c>
      <c r="X119" s="12">
        <f>W119*V119</f>
        <v/>
      </c>
      <c r="Y119" s="12">
        <f>L119*1000*X119*86400</f>
        <v/>
      </c>
      <c r="Z119" s="12">
        <f>Y119*365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'02_GPU_Mix_Input'!D120</f>
        <v/>
      </c>
      <c r="O120" s="10">
        <f>'02_GPU_Mix_Input'!E120</f>
        <v/>
      </c>
      <c r="P120" s="10">
        <f>'02_GPU_Mix_Input'!F120</f>
        <v/>
      </c>
      <c r="Q120" s="10">
        <f>'02_GPU_Mix_Input'!G120</f>
        <v/>
      </c>
      <c r="R120" s="12">
        <f>INDEX('01_Benchmark_Input'!$D$2:$D$10,MATCH(B120,'01_Benchmark_Input'!$A$2:$A$10,0))</f>
        <v/>
      </c>
      <c r="S120" s="12">
        <f>INDEX('01_Benchmark_Input'!$F$2:$F$10,MATCH(B120,'01_Benchmark_Input'!$A$2:$A$10,0))</f>
        <v/>
      </c>
      <c r="T120" s="12">
        <f>INDEX('01_Benchmark_Input'!$H$2:$H$10,MATCH(B120,'01_Benchmark_Input'!$A$2:$A$10,0))</f>
        <v/>
      </c>
      <c r="U120" s="12">
        <f>INDEX('01_Benchmark_Input'!$J$2:$J$10,MATCH(B120,'01_Benchmark_Input'!$A$2:$A$10,0))</f>
        <v/>
      </c>
      <c r="V120" s="10">
        <f>'02_Inputs'!K120</f>
        <v/>
      </c>
      <c r="W120" s="12">
        <f>N120*R120+O120*S120+P120*T120+Q120*U120</f>
        <v/>
      </c>
      <c r="X120" s="12">
        <f>W120*V120</f>
        <v/>
      </c>
      <c r="Y120" s="12">
        <f>L120*1000*X120*86400</f>
        <v/>
      </c>
      <c r="Z120" s="12">
        <f>Y120*365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'02_GPU_Mix_Input'!D121</f>
        <v/>
      </c>
      <c r="O121" s="10">
        <f>'02_GPU_Mix_Input'!E121</f>
        <v/>
      </c>
      <c r="P121" s="10">
        <f>'02_GPU_Mix_Input'!F121</f>
        <v/>
      </c>
      <c r="Q121" s="10">
        <f>'02_GPU_Mix_Input'!G121</f>
        <v/>
      </c>
      <c r="R121" s="12">
        <f>INDEX('01_Benchmark_Input'!$D$2:$D$10,MATCH(B121,'01_Benchmark_Input'!$A$2:$A$10,0))</f>
        <v/>
      </c>
      <c r="S121" s="12">
        <f>INDEX('01_Benchmark_Input'!$F$2:$F$10,MATCH(B121,'01_Benchmark_Input'!$A$2:$A$10,0))</f>
        <v/>
      </c>
      <c r="T121" s="12">
        <f>INDEX('01_Benchmark_Input'!$H$2:$H$10,MATCH(B121,'01_Benchmark_Input'!$A$2:$A$10,0))</f>
        <v/>
      </c>
      <c r="U121" s="12">
        <f>INDEX('01_Benchmark_Input'!$J$2:$J$10,MATCH(B121,'01_Benchmark_Input'!$A$2:$A$10,0))</f>
        <v/>
      </c>
      <c r="V121" s="10">
        <f>'02_Inputs'!K121</f>
        <v/>
      </c>
      <c r="W121" s="12">
        <f>N121*R121+O121*S121+P121*T121+Q121*U121</f>
        <v/>
      </c>
      <c r="X121" s="12">
        <f>W121*V121</f>
        <v/>
      </c>
      <c r="Y121" s="12">
        <f>L121*1000*X121*86400</f>
        <v/>
      </c>
      <c r="Z121" s="12">
        <f>Y121*365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'02_GPU_Mix_Input'!D122</f>
        <v/>
      </c>
      <c r="O122" s="10">
        <f>'02_GPU_Mix_Input'!E122</f>
        <v/>
      </c>
      <c r="P122" s="10">
        <f>'02_GPU_Mix_Input'!F122</f>
        <v/>
      </c>
      <c r="Q122" s="10">
        <f>'02_GPU_Mix_Input'!G122</f>
        <v/>
      </c>
      <c r="R122" s="12">
        <f>INDEX('01_Benchmark_Input'!$D$2:$D$10,MATCH(B122,'01_Benchmark_Input'!$A$2:$A$10,0))</f>
        <v/>
      </c>
      <c r="S122" s="12">
        <f>INDEX('01_Benchmark_Input'!$F$2:$F$10,MATCH(B122,'01_Benchmark_Input'!$A$2:$A$10,0))</f>
        <v/>
      </c>
      <c r="T122" s="12">
        <f>INDEX('01_Benchmark_Input'!$H$2:$H$10,MATCH(B122,'01_Benchmark_Input'!$A$2:$A$10,0))</f>
        <v/>
      </c>
      <c r="U122" s="12">
        <f>INDEX('01_Benchmark_Input'!$J$2:$J$10,MATCH(B122,'01_Benchmark_Input'!$A$2:$A$10,0))</f>
        <v/>
      </c>
      <c r="V122" s="10">
        <f>'02_Inputs'!K122</f>
        <v/>
      </c>
      <c r="W122" s="12">
        <f>N122*R122+O122*S122+P122*T122+Q122*U122</f>
        <v/>
      </c>
      <c r="X122" s="12">
        <f>W122*V122</f>
        <v/>
      </c>
      <c r="Y122" s="12">
        <f>L122*1000*X122*86400</f>
        <v/>
      </c>
      <c r="Z122" s="12">
        <f>Y122*365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'02_GPU_Mix_Input'!D123</f>
        <v/>
      </c>
      <c r="O123" s="10">
        <f>'02_GPU_Mix_Input'!E123</f>
        <v/>
      </c>
      <c r="P123" s="10">
        <f>'02_GPU_Mix_Input'!F123</f>
        <v/>
      </c>
      <c r="Q123" s="10">
        <f>'02_GPU_Mix_Input'!G123</f>
        <v/>
      </c>
      <c r="R123" s="12">
        <f>INDEX('01_Benchmark_Input'!$D$2:$D$10,MATCH(B123,'01_Benchmark_Input'!$A$2:$A$10,0))</f>
        <v/>
      </c>
      <c r="S123" s="12">
        <f>INDEX('01_Benchmark_Input'!$F$2:$F$10,MATCH(B123,'01_Benchmark_Input'!$A$2:$A$10,0))</f>
        <v/>
      </c>
      <c r="T123" s="12">
        <f>INDEX('01_Benchmark_Input'!$H$2:$H$10,MATCH(B123,'01_Benchmark_Input'!$A$2:$A$10,0))</f>
        <v/>
      </c>
      <c r="U123" s="12">
        <f>INDEX('01_Benchmark_Input'!$J$2:$J$10,MATCH(B123,'01_Benchmark_Input'!$A$2:$A$10,0))</f>
        <v/>
      </c>
      <c r="V123" s="10">
        <f>'02_Inputs'!K123</f>
        <v/>
      </c>
      <c r="W123" s="12">
        <f>N123*R123+O123*S123+P123*T123+Q123*U123</f>
        <v/>
      </c>
      <c r="X123" s="12">
        <f>W123*V123</f>
        <v/>
      </c>
      <c r="Y123" s="12">
        <f>L123*1000*X123*86400</f>
        <v/>
      </c>
      <c r="Z123" s="12">
        <f>Y123*365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'02_GPU_Mix_Input'!D124</f>
        <v/>
      </c>
      <c r="O124" s="10">
        <f>'02_GPU_Mix_Input'!E124</f>
        <v/>
      </c>
      <c r="P124" s="10">
        <f>'02_GPU_Mix_Input'!F124</f>
        <v/>
      </c>
      <c r="Q124" s="10">
        <f>'02_GPU_Mix_Input'!G124</f>
        <v/>
      </c>
      <c r="R124" s="12">
        <f>INDEX('01_Benchmark_Input'!$D$2:$D$10,MATCH(B124,'01_Benchmark_Input'!$A$2:$A$10,0))</f>
        <v/>
      </c>
      <c r="S124" s="12">
        <f>INDEX('01_Benchmark_Input'!$F$2:$F$10,MATCH(B124,'01_Benchmark_Input'!$A$2:$A$10,0))</f>
        <v/>
      </c>
      <c r="T124" s="12">
        <f>INDEX('01_Benchmark_Input'!$H$2:$H$10,MATCH(B124,'01_Benchmark_Input'!$A$2:$A$10,0))</f>
        <v/>
      </c>
      <c r="U124" s="12">
        <f>INDEX('01_Benchmark_Input'!$J$2:$J$10,MATCH(B124,'01_Benchmark_Input'!$A$2:$A$10,0))</f>
        <v/>
      </c>
      <c r="V124" s="10">
        <f>'02_Inputs'!K124</f>
        <v/>
      </c>
      <c r="W124" s="12">
        <f>N124*R124+O124*S124+P124*T124+Q124*U124</f>
        <v/>
      </c>
      <c r="X124" s="12">
        <f>W124*V124</f>
        <v/>
      </c>
      <c r="Y124" s="12">
        <f>L124*1000*X124*86400</f>
        <v/>
      </c>
      <c r="Z124" s="12">
        <f>Y124*365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'02_GPU_Mix_Input'!D125</f>
        <v/>
      </c>
      <c r="O125" s="10">
        <f>'02_GPU_Mix_Input'!E125</f>
        <v/>
      </c>
      <c r="P125" s="10">
        <f>'02_GPU_Mix_Input'!F125</f>
        <v/>
      </c>
      <c r="Q125" s="10">
        <f>'02_GPU_Mix_Input'!G125</f>
        <v/>
      </c>
      <c r="R125" s="12">
        <f>INDEX('01_Benchmark_Input'!$D$2:$D$10,MATCH(B125,'01_Benchmark_Input'!$A$2:$A$10,0))</f>
        <v/>
      </c>
      <c r="S125" s="12">
        <f>INDEX('01_Benchmark_Input'!$F$2:$F$10,MATCH(B125,'01_Benchmark_Input'!$A$2:$A$10,0))</f>
        <v/>
      </c>
      <c r="T125" s="12">
        <f>INDEX('01_Benchmark_Input'!$H$2:$H$10,MATCH(B125,'01_Benchmark_Input'!$A$2:$A$10,0))</f>
        <v/>
      </c>
      <c r="U125" s="12">
        <f>INDEX('01_Benchmark_Input'!$J$2:$J$10,MATCH(B125,'01_Benchmark_Input'!$A$2:$A$10,0))</f>
        <v/>
      </c>
      <c r="V125" s="10">
        <f>'02_Inputs'!K125</f>
        <v/>
      </c>
      <c r="W125" s="12">
        <f>N125*R125+O125*S125+P125*T125+Q125*U125</f>
        <v/>
      </c>
      <c r="X125" s="12">
        <f>W125*V125</f>
        <v/>
      </c>
      <c r="Y125" s="12">
        <f>L125*1000*X125*86400</f>
        <v/>
      </c>
      <c r="Z125" s="12">
        <f>Y125*365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'02_GPU_Mix_Input'!D126</f>
        <v/>
      </c>
      <c r="O126" s="10">
        <f>'02_GPU_Mix_Input'!E126</f>
        <v/>
      </c>
      <c r="P126" s="10">
        <f>'02_GPU_Mix_Input'!F126</f>
        <v/>
      </c>
      <c r="Q126" s="10">
        <f>'02_GPU_Mix_Input'!G126</f>
        <v/>
      </c>
      <c r="R126" s="12">
        <f>INDEX('01_Benchmark_Input'!$D$2:$D$10,MATCH(B126,'01_Benchmark_Input'!$A$2:$A$10,0))</f>
        <v/>
      </c>
      <c r="S126" s="12">
        <f>INDEX('01_Benchmark_Input'!$F$2:$F$10,MATCH(B126,'01_Benchmark_Input'!$A$2:$A$10,0))</f>
        <v/>
      </c>
      <c r="T126" s="12">
        <f>INDEX('01_Benchmark_Input'!$H$2:$H$10,MATCH(B126,'01_Benchmark_Input'!$A$2:$A$10,0))</f>
        <v/>
      </c>
      <c r="U126" s="12">
        <f>INDEX('01_Benchmark_Input'!$J$2:$J$10,MATCH(B126,'01_Benchmark_Input'!$A$2:$A$10,0))</f>
        <v/>
      </c>
      <c r="V126" s="10">
        <f>'02_Inputs'!K126</f>
        <v/>
      </c>
      <c r="W126" s="12">
        <f>N126*R126+O126*S126+P126*T126+Q126*U126</f>
        <v/>
      </c>
      <c r="X126" s="12">
        <f>W126*V126</f>
        <v/>
      </c>
      <c r="Y126" s="12">
        <f>L126*1000*X126*86400</f>
        <v/>
      </c>
      <c r="Z126" s="12">
        <f>Y126*365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'02_GPU_Mix_Input'!D127</f>
        <v/>
      </c>
      <c r="O127" s="10">
        <f>'02_GPU_Mix_Input'!E127</f>
        <v/>
      </c>
      <c r="P127" s="10">
        <f>'02_GPU_Mix_Input'!F127</f>
        <v/>
      </c>
      <c r="Q127" s="10">
        <f>'02_GPU_Mix_Input'!G127</f>
        <v/>
      </c>
      <c r="R127" s="12">
        <f>INDEX('01_Benchmark_Input'!$D$2:$D$10,MATCH(B127,'01_Benchmark_Input'!$A$2:$A$10,0))</f>
        <v/>
      </c>
      <c r="S127" s="12">
        <f>INDEX('01_Benchmark_Input'!$F$2:$F$10,MATCH(B127,'01_Benchmark_Input'!$A$2:$A$10,0))</f>
        <v/>
      </c>
      <c r="T127" s="12">
        <f>INDEX('01_Benchmark_Input'!$H$2:$H$10,MATCH(B127,'01_Benchmark_Input'!$A$2:$A$10,0))</f>
        <v/>
      </c>
      <c r="U127" s="12">
        <f>INDEX('01_Benchmark_Input'!$J$2:$J$10,MATCH(B127,'01_Benchmark_Input'!$A$2:$A$10,0))</f>
        <v/>
      </c>
      <c r="V127" s="10">
        <f>'02_Inputs'!K127</f>
        <v/>
      </c>
      <c r="W127" s="12">
        <f>N127*R127+O127*S127+P127*T127+Q127*U127</f>
        <v/>
      </c>
      <c r="X127" s="12">
        <f>W127*V127</f>
        <v/>
      </c>
      <c r="Y127" s="12">
        <f>L127*1000*X127*86400</f>
        <v/>
      </c>
      <c r="Z127" s="12">
        <f>Y127*365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'02_GPU_Mix_Input'!D128</f>
        <v/>
      </c>
      <c r="O128" s="10">
        <f>'02_GPU_Mix_Input'!E128</f>
        <v/>
      </c>
      <c r="P128" s="10">
        <f>'02_GPU_Mix_Input'!F128</f>
        <v/>
      </c>
      <c r="Q128" s="10">
        <f>'02_GPU_Mix_Input'!G128</f>
        <v/>
      </c>
      <c r="R128" s="12">
        <f>INDEX('01_Benchmark_Input'!$D$2:$D$10,MATCH(B128,'01_Benchmark_Input'!$A$2:$A$10,0))</f>
        <v/>
      </c>
      <c r="S128" s="12">
        <f>INDEX('01_Benchmark_Input'!$F$2:$F$10,MATCH(B128,'01_Benchmark_Input'!$A$2:$A$10,0))</f>
        <v/>
      </c>
      <c r="T128" s="12">
        <f>INDEX('01_Benchmark_Input'!$H$2:$H$10,MATCH(B128,'01_Benchmark_Input'!$A$2:$A$10,0))</f>
        <v/>
      </c>
      <c r="U128" s="12">
        <f>INDEX('01_Benchmark_Input'!$J$2:$J$10,MATCH(B128,'01_Benchmark_Input'!$A$2:$A$10,0))</f>
        <v/>
      </c>
      <c r="V128" s="10">
        <f>'02_Inputs'!K128</f>
        <v/>
      </c>
      <c r="W128" s="12">
        <f>N128*R128+O128*S128+P128*T128+Q128*U128</f>
        <v/>
      </c>
      <c r="X128" s="12">
        <f>W128*V128</f>
        <v/>
      </c>
      <c r="Y128" s="12">
        <f>L128*1000*X128*86400</f>
        <v/>
      </c>
      <c r="Z128" s="12">
        <f>Y128*365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'02_GPU_Mix_Input'!D129</f>
        <v/>
      </c>
      <c r="O129" s="10">
        <f>'02_GPU_Mix_Input'!E129</f>
        <v/>
      </c>
      <c r="P129" s="10">
        <f>'02_GPU_Mix_Input'!F129</f>
        <v/>
      </c>
      <c r="Q129" s="10">
        <f>'02_GPU_Mix_Input'!G129</f>
        <v/>
      </c>
      <c r="R129" s="12">
        <f>INDEX('01_Benchmark_Input'!$D$2:$D$10,MATCH(B129,'01_Benchmark_Input'!$A$2:$A$10,0))</f>
        <v/>
      </c>
      <c r="S129" s="12">
        <f>INDEX('01_Benchmark_Input'!$F$2:$F$10,MATCH(B129,'01_Benchmark_Input'!$A$2:$A$10,0))</f>
        <v/>
      </c>
      <c r="T129" s="12">
        <f>INDEX('01_Benchmark_Input'!$H$2:$H$10,MATCH(B129,'01_Benchmark_Input'!$A$2:$A$10,0))</f>
        <v/>
      </c>
      <c r="U129" s="12">
        <f>INDEX('01_Benchmark_Input'!$J$2:$J$10,MATCH(B129,'01_Benchmark_Input'!$A$2:$A$10,0))</f>
        <v/>
      </c>
      <c r="V129" s="10">
        <f>'02_Inputs'!K129</f>
        <v/>
      </c>
      <c r="W129" s="12">
        <f>N129*R129+O129*S129+P129*T129+Q129*U129</f>
        <v/>
      </c>
      <c r="X129" s="12">
        <f>W129*V129</f>
        <v/>
      </c>
      <c r="Y129" s="12">
        <f>L129*1000*X129*86400</f>
        <v/>
      </c>
      <c r="Z129" s="12">
        <f>Y129*365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'02_GPU_Mix_Input'!D130</f>
        <v/>
      </c>
      <c r="O130" s="10">
        <f>'02_GPU_Mix_Input'!E130</f>
        <v/>
      </c>
      <c r="P130" s="10">
        <f>'02_GPU_Mix_Input'!F130</f>
        <v/>
      </c>
      <c r="Q130" s="10">
        <f>'02_GPU_Mix_Input'!G130</f>
        <v/>
      </c>
      <c r="R130" s="12">
        <f>INDEX('01_Benchmark_Input'!$D$2:$D$10,MATCH(B130,'01_Benchmark_Input'!$A$2:$A$10,0))</f>
        <v/>
      </c>
      <c r="S130" s="12">
        <f>INDEX('01_Benchmark_Input'!$F$2:$F$10,MATCH(B130,'01_Benchmark_Input'!$A$2:$A$10,0))</f>
        <v/>
      </c>
      <c r="T130" s="12">
        <f>INDEX('01_Benchmark_Input'!$H$2:$H$10,MATCH(B130,'01_Benchmark_Input'!$A$2:$A$10,0))</f>
        <v/>
      </c>
      <c r="U130" s="12">
        <f>INDEX('01_Benchmark_Input'!$J$2:$J$10,MATCH(B130,'01_Benchmark_Input'!$A$2:$A$10,0))</f>
        <v/>
      </c>
      <c r="V130" s="10">
        <f>'02_Inputs'!K130</f>
        <v/>
      </c>
      <c r="W130" s="12">
        <f>N130*R130+O130*S130+P130*T130+Q130*U130</f>
        <v/>
      </c>
      <c r="X130" s="12">
        <f>W130*V130</f>
        <v/>
      </c>
      <c r="Y130" s="12">
        <f>L130*1000*X130*86400</f>
        <v/>
      </c>
      <c r="Z130" s="12">
        <f>Y130*365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'02_GPU_Mix_Input'!D131</f>
        <v/>
      </c>
      <c r="O131" s="10">
        <f>'02_GPU_Mix_Input'!E131</f>
        <v/>
      </c>
      <c r="P131" s="10">
        <f>'02_GPU_Mix_Input'!F131</f>
        <v/>
      </c>
      <c r="Q131" s="10">
        <f>'02_GPU_Mix_Input'!G131</f>
        <v/>
      </c>
      <c r="R131" s="12">
        <f>INDEX('01_Benchmark_Input'!$D$2:$D$10,MATCH(B131,'01_Benchmark_Input'!$A$2:$A$10,0))</f>
        <v/>
      </c>
      <c r="S131" s="12">
        <f>INDEX('01_Benchmark_Input'!$F$2:$F$10,MATCH(B131,'01_Benchmark_Input'!$A$2:$A$10,0))</f>
        <v/>
      </c>
      <c r="T131" s="12">
        <f>INDEX('01_Benchmark_Input'!$H$2:$H$10,MATCH(B131,'01_Benchmark_Input'!$A$2:$A$10,0))</f>
        <v/>
      </c>
      <c r="U131" s="12">
        <f>INDEX('01_Benchmark_Input'!$J$2:$J$10,MATCH(B131,'01_Benchmark_Input'!$A$2:$A$10,0))</f>
        <v/>
      </c>
      <c r="V131" s="10">
        <f>'02_Inputs'!K131</f>
        <v/>
      </c>
      <c r="W131" s="12">
        <f>N131*R131+O131*S131+P131*T131+Q131*U131</f>
        <v/>
      </c>
      <c r="X131" s="12">
        <f>W131*V131</f>
        <v/>
      </c>
      <c r="Y131" s="12">
        <f>L131*1000*X131*86400</f>
        <v/>
      </c>
      <c r="Z131" s="12">
        <f>Y131*365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'02_GPU_Mix_Input'!D132</f>
        <v/>
      </c>
      <c r="O132" s="10">
        <f>'02_GPU_Mix_Input'!E132</f>
        <v/>
      </c>
      <c r="P132" s="10">
        <f>'02_GPU_Mix_Input'!F132</f>
        <v/>
      </c>
      <c r="Q132" s="10">
        <f>'02_GPU_Mix_Input'!G132</f>
        <v/>
      </c>
      <c r="R132" s="12">
        <f>INDEX('01_Benchmark_Input'!$D$2:$D$10,MATCH(B132,'01_Benchmark_Input'!$A$2:$A$10,0))</f>
        <v/>
      </c>
      <c r="S132" s="12">
        <f>INDEX('01_Benchmark_Input'!$F$2:$F$10,MATCH(B132,'01_Benchmark_Input'!$A$2:$A$10,0))</f>
        <v/>
      </c>
      <c r="T132" s="12">
        <f>INDEX('01_Benchmark_Input'!$H$2:$H$10,MATCH(B132,'01_Benchmark_Input'!$A$2:$A$10,0))</f>
        <v/>
      </c>
      <c r="U132" s="12">
        <f>INDEX('01_Benchmark_Input'!$J$2:$J$10,MATCH(B132,'01_Benchmark_Input'!$A$2:$A$10,0))</f>
        <v/>
      </c>
      <c r="V132" s="10">
        <f>'02_Inputs'!K132</f>
        <v/>
      </c>
      <c r="W132" s="12">
        <f>N132*R132+O132*S132+P132*T132+Q132*U132</f>
        <v/>
      </c>
      <c r="X132" s="12">
        <f>W132*V132</f>
        <v/>
      </c>
      <c r="Y132" s="12">
        <f>L132*1000*X132*86400</f>
        <v/>
      </c>
      <c r="Z132" s="12">
        <f>Y132*365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'02_GPU_Mix_Input'!D133</f>
        <v/>
      </c>
      <c r="O133" s="10">
        <f>'02_GPU_Mix_Input'!E133</f>
        <v/>
      </c>
      <c r="P133" s="10">
        <f>'02_GPU_Mix_Input'!F133</f>
        <v/>
      </c>
      <c r="Q133" s="10">
        <f>'02_GPU_Mix_Input'!G133</f>
        <v/>
      </c>
      <c r="R133" s="12">
        <f>INDEX('01_Benchmark_Input'!$D$2:$D$10,MATCH(B133,'01_Benchmark_Input'!$A$2:$A$10,0))</f>
        <v/>
      </c>
      <c r="S133" s="12">
        <f>INDEX('01_Benchmark_Input'!$F$2:$F$10,MATCH(B133,'01_Benchmark_Input'!$A$2:$A$10,0))</f>
        <v/>
      </c>
      <c r="T133" s="12">
        <f>INDEX('01_Benchmark_Input'!$H$2:$H$10,MATCH(B133,'01_Benchmark_Input'!$A$2:$A$10,0))</f>
        <v/>
      </c>
      <c r="U133" s="12">
        <f>INDEX('01_Benchmark_Input'!$J$2:$J$10,MATCH(B133,'01_Benchmark_Input'!$A$2:$A$10,0))</f>
        <v/>
      </c>
      <c r="V133" s="10">
        <f>'02_Inputs'!K133</f>
        <v/>
      </c>
      <c r="W133" s="12">
        <f>N133*R133+O133*S133+P133*T133+Q133*U133</f>
        <v/>
      </c>
      <c r="X133" s="12">
        <f>W133*V133</f>
        <v/>
      </c>
      <c r="Y133" s="12">
        <f>L133*1000*X133*86400</f>
        <v/>
      </c>
      <c r="Z133" s="12">
        <f>Y133*365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'02_GPU_Mix_Input'!D134</f>
        <v/>
      </c>
      <c r="O134" s="10">
        <f>'02_GPU_Mix_Input'!E134</f>
        <v/>
      </c>
      <c r="P134" s="10">
        <f>'02_GPU_Mix_Input'!F134</f>
        <v/>
      </c>
      <c r="Q134" s="10">
        <f>'02_GPU_Mix_Input'!G134</f>
        <v/>
      </c>
      <c r="R134" s="12">
        <f>INDEX('01_Benchmark_Input'!$D$2:$D$10,MATCH(B134,'01_Benchmark_Input'!$A$2:$A$10,0))</f>
        <v/>
      </c>
      <c r="S134" s="12">
        <f>INDEX('01_Benchmark_Input'!$F$2:$F$10,MATCH(B134,'01_Benchmark_Input'!$A$2:$A$10,0))</f>
        <v/>
      </c>
      <c r="T134" s="12">
        <f>INDEX('01_Benchmark_Input'!$H$2:$H$10,MATCH(B134,'01_Benchmark_Input'!$A$2:$A$10,0))</f>
        <v/>
      </c>
      <c r="U134" s="12">
        <f>INDEX('01_Benchmark_Input'!$J$2:$J$10,MATCH(B134,'01_Benchmark_Input'!$A$2:$A$10,0))</f>
        <v/>
      </c>
      <c r="V134" s="10">
        <f>'02_Inputs'!K134</f>
        <v/>
      </c>
      <c r="W134" s="12">
        <f>N134*R134+O134*S134+P134*T134+Q134*U134</f>
        <v/>
      </c>
      <c r="X134" s="12">
        <f>W134*V134</f>
        <v/>
      </c>
      <c r="Y134" s="12">
        <f>L134*1000*X134*86400</f>
        <v/>
      </c>
      <c r="Z134" s="12">
        <f>Y134*365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'02_GPU_Mix_Input'!D135</f>
        <v/>
      </c>
      <c r="O135" s="10">
        <f>'02_GPU_Mix_Input'!E135</f>
        <v/>
      </c>
      <c r="P135" s="10">
        <f>'02_GPU_Mix_Input'!F135</f>
        <v/>
      </c>
      <c r="Q135" s="10">
        <f>'02_GPU_Mix_Input'!G135</f>
        <v/>
      </c>
      <c r="R135" s="12">
        <f>INDEX('01_Benchmark_Input'!$D$2:$D$10,MATCH(B135,'01_Benchmark_Input'!$A$2:$A$10,0))</f>
        <v/>
      </c>
      <c r="S135" s="12">
        <f>INDEX('01_Benchmark_Input'!$F$2:$F$10,MATCH(B135,'01_Benchmark_Input'!$A$2:$A$10,0))</f>
        <v/>
      </c>
      <c r="T135" s="12">
        <f>INDEX('01_Benchmark_Input'!$H$2:$H$10,MATCH(B135,'01_Benchmark_Input'!$A$2:$A$10,0))</f>
        <v/>
      </c>
      <c r="U135" s="12">
        <f>INDEX('01_Benchmark_Input'!$J$2:$J$10,MATCH(B135,'01_Benchmark_Input'!$A$2:$A$10,0))</f>
        <v/>
      </c>
      <c r="V135" s="10">
        <f>'02_Inputs'!K135</f>
        <v/>
      </c>
      <c r="W135" s="12">
        <f>N135*R135+O135*S135+P135*T135+Q135*U135</f>
        <v/>
      </c>
      <c r="X135" s="12">
        <f>W135*V135</f>
        <v/>
      </c>
      <c r="Y135" s="12">
        <f>L135*1000*X135*86400</f>
        <v/>
      </c>
      <c r="Z135" s="12">
        <f>Y135*365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'02_GPU_Mix_Input'!D136</f>
        <v/>
      </c>
      <c r="O136" s="10">
        <f>'02_GPU_Mix_Input'!E136</f>
        <v/>
      </c>
      <c r="P136" s="10">
        <f>'02_GPU_Mix_Input'!F136</f>
        <v/>
      </c>
      <c r="Q136" s="10">
        <f>'02_GPU_Mix_Input'!G136</f>
        <v/>
      </c>
      <c r="R136" s="12">
        <f>INDEX('01_Benchmark_Input'!$D$2:$D$10,MATCH(B136,'01_Benchmark_Input'!$A$2:$A$10,0))</f>
        <v/>
      </c>
      <c r="S136" s="12">
        <f>INDEX('01_Benchmark_Input'!$F$2:$F$10,MATCH(B136,'01_Benchmark_Input'!$A$2:$A$10,0))</f>
        <v/>
      </c>
      <c r="T136" s="12">
        <f>INDEX('01_Benchmark_Input'!$H$2:$H$10,MATCH(B136,'01_Benchmark_Input'!$A$2:$A$10,0))</f>
        <v/>
      </c>
      <c r="U136" s="12">
        <f>INDEX('01_Benchmark_Input'!$J$2:$J$10,MATCH(B136,'01_Benchmark_Input'!$A$2:$A$10,0))</f>
        <v/>
      </c>
      <c r="V136" s="10">
        <f>'02_Inputs'!K136</f>
        <v/>
      </c>
      <c r="W136" s="12">
        <f>N136*R136+O136*S136+P136*T136+Q136*U136</f>
        <v/>
      </c>
      <c r="X136" s="12">
        <f>W136*V136</f>
        <v/>
      </c>
      <c r="Y136" s="12">
        <f>L136*1000*X136*86400</f>
        <v/>
      </c>
      <c r="Z136" s="12">
        <f>Y136*365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'02_GPU_Mix_Input'!D137</f>
        <v/>
      </c>
      <c r="O137" s="10">
        <f>'02_GPU_Mix_Input'!E137</f>
        <v/>
      </c>
      <c r="P137" s="10">
        <f>'02_GPU_Mix_Input'!F137</f>
        <v/>
      </c>
      <c r="Q137" s="10">
        <f>'02_GPU_Mix_Input'!G137</f>
        <v/>
      </c>
      <c r="R137" s="12">
        <f>INDEX('01_Benchmark_Input'!$D$2:$D$10,MATCH(B137,'01_Benchmark_Input'!$A$2:$A$10,0))</f>
        <v/>
      </c>
      <c r="S137" s="12">
        <f>INDEX('01_Benchmark_Input'!$F$2:$F$10,MATCH(B137,'01_Benchmark_Input'!$A$2:$A$10,0))</f>
        <v/>
      </c>
      <c r="T137" s="12">
        <f>INDEX('01_Benchmark_Input'!$H$2:$H$10,MATCH(B137,'01_Benchmark_Input'!$A$2:$A$10,0))</f>
        <v/>
      </c>
      <c r="U137" s="12">
        <f>INDEX('01_Benchmark_Input'!$J$2:$J$10,MATCH(B137,'01_Benchmark_Input'!$A$2:$A$10,0))</f>
        <v/>
      </c>
      <c r="V137" s="10">
        <f>'02_Inputs'!K137</f>
        <v/>
      </c>
      <c r="W137" s="12">
        <f>N137*R137+O137*S137+P137*T137+Q137*U137</f>
        <v/>
      </c>
      <c r="X137" s="12">
        <f>W137*V137</f>
        <v/>
      </c>
      <c r="Y137" s="12">
        <f>L137*1000*X137*86400</f>
        <v/>
      </c>
      <c r="Z137" s="12">
        <f>Y137*365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'02_GPU_Mix_Input'!D138</f>
        <v/>
      </c>
      <c r="O138" s="10">
        <f>'02_GPU_Mix_Input'!E138</f>
        <v/>
      </c>
      <c r="P138" s="10">
        <f>'02_GPU_Mix_Input'!F138</f>
        <v/>
      </c>
      <c r="Q138" s="10">
        <f>'02_GPU_Mix_Input'!G138</f>
        <v/>
      </c>
      <c r="R138" s="12">
        <f>INDEX('01_Benchmark_Input'!$D$2:$D$10,MATCH(B138,'01_Benchmark_Input'!$A$2:$A$10,0))</f>
        <v/>
      </c>
      <c r="S138" s="12">
        <f>INDEX('01_Benchmark_Input'!$F$2:$F$10,MATCH(B138,'01_Benchmark_Input'!$A$2:$A$10,0))</f>
        <v/>
      </c>
      <c r="T138" s="12">
        <f>INDEX('01_Benchmark_Input'!$H$2:$H$10,MATCH(B138,'01_Benchmark_Input'!$A$2:$A$10,0))</f>
        <v/>
      </c>
      <c r="U138" s="12">
        <f>INDEX('01_Benchmark_Input'!$J$2:$J$10,MATCH(B138,'01_Benchmark_Input'!$A$2:$A$10,0))</f>
        <v/>
      </c>
      <c r="V138" s="10">
        <f>'02_Inputs'!K138</f>
        <v/>
      </c>
      <c r="W138" s="12">
        <f>N138*R138+O138*S138+P138*T138+Q138*U138</f>
        <v/>
      </c>
      <c r="X138" s="12">
        <f>W138*V138</f>
        <v/>
      </c>
      <c r="Y138" s="12">
        <f>L138*1000*X138*86400</f>
        <v/>
      </c>
      <c r="Z138" s="12">
        <f>Y138*365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'02_GPU_Mix_Input'!D139</f>
        <v/>
      </c>
      <c r="O139" s="10">
        <f>'02_GPU_Mix_Input'!E139</f>
        <v/>
      </c>
      <c r="P139" s="10">
        <f>'02_GPU_Mix_Input'!F139</f>
        <v/>
      </c>
      <c r="Q139" s="10">
        <f>'02_GPU_Mix_Input'!G139</f>
        <v/>
      </c>
      <c r="R139" s="12">
        <f>INDEX('01_Benchmark_Input'!$D$2:$D$10,MATCH(B139,'01_Benchmark_Input'!$A$2:$A$10,0))</f>
        <v/>
      </c>
      <c r="S139" s="12">
        <f>INDEX('01_Benchmark_Input'!$F$2:$F$10,MATCH(B139,'01_Benchmark_Input'!$A$2:$A$10,0))</f>
        <v/>
      </c>
      <c r="T139" s="12">
        <f>INDEX('01_Benchmark_Input'!$H$2:$H$10,MATCH(B139,'01_Benchmark_Input'!$A$2:$A$10,0))</f>
        <v/>
      </c>
      <c r="U139" s="12">
        <f>INDEX('01_Benchmark_Input'!$J$2:$J$10,MATCH(B139,'01_Benchmark_Input'!$A$2:$A$10,0))</f>
        <v/>
      </c>
      <c r="V139" s="10">
        <f>'02_Inputs'!K139</f>
        <v/>
      </c>
      <c r="W139" s="12">
        <f>N139*R139+O139*S139+P139*T139+Q139*U139</f>
        <v/>
      </c>
      <c r="X139" s="12">
        <f>W139*V139</f>
        <v/>
      </c>
      <c r="Y139" s="12">
        <f>L139*1000*X139*86400</f>
        <v/>
      </c>
      <c r="Z139" s="12">
        <f>Y139*365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'02_GPU_Mix_Input'!D140</f>
        <v/>
      </c>
      <c r="O140" s="10">
        <f>'02_GPU_Mix_Input'!E140</f>
        <v/>
      </c>
      <c r="P140" s="10">
        <f>'02_GPU_Mix_Input'!F140</f>
        <v/>
      </c>
      <c r="Q140" s="10">
        <f>'02_GPU_Mix_Input'!G140</f>
        <v/>
      </c>
      <c r="R140" s="12">
        <f>INDEX('01_Benchmark_Input'!$D$2:$D$10,MATCH(B140,'01_Benchmark_Input'!$A$2:$A$10,0))</f>
        <v/>
      </c>
      <c r="S140" s="12">
        <f>INDEX('01_Benchmark_Input'!$F$2:$F$10,MATCH(B140,'01_Benchmark_Input'!$A$2:$A$10,0))</f>
        <v/>
      </c>
      <c r="T140" s="12">
        <f>INDEX('01_Benchmark_Input'!$H$2:$H$10,MATCH(B140,'01_Benchmark_Input'!$A$2:$A$10,0))</f>
        <v/>
      </c>
      <c r="U140" s="12">
        <f>INDEX('01_Benchmark_Input'!$J$2:$J$10,MATCH(B140,'01_Benchmark_Input'!$A$2:$A$10,0))</f>
        <v/>
      </c>
      <c r="V140" s="10">
        <f>'02_Inputs'!K140</f>
        <v/>
      </c>
      <c r="W140" s="12">
        <f>N140*R140+O140*S140+P140*T140+Q140*U140</f>
        <v/>
      </c>
      <c r="X140" s="12">
        <f>W140*V140</f>
        <v/>
      </c>
      <c r="Y140" s="12">
        <f>L140*1000*X140*86400</f>
        <v/>
      </c>
      <c r="Z140" s="12">
        <f>Y140*365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'02_GPU_Mix_Input'!D141</f>
        <v/>
      </c>
      <c r="O141" s="10">
        <f>'02_GPU_Mix_Input'!E141</f>
        <v/>
      </c>
      <c r="P141" s="10">
        <f>'02_GPU_Mix_Input'!F141</f>
        <v/>
      </c>
      <c r="Q141" s="10">
        <f>'02_GPU_Mix_Input'!G141</f>
        <v/>
      </c>
      <c r="R141" s="12">
        <f>INDEX('01_Benchmark_Input'!$D$2:$D$10,MATCH(B141,'01_Benchmark_Input'!$A$2:$A$10,0))</f>
        <v/>
      </c>
      <c r="S141" s="12">
        <f>INDEX('01_Benchmark_Input'!$F$2:$F$10,MATCH(B141,'01_Benchmark_Input'!$A$2:$A$10,0))</f>
        <v/>
      </c>
      <c r="T141" s="12">
        <f>INDEX('01_Benchmark_Input'!$H$2:$H$10,MATCH(B141,'01_Benchmark_Input'!$A$2:$A$10,0))</f>
        <v/>
      </c>
      <c r="U141" s="12">
        <f>INDEX('01_Benchmark_Input'!$J$2:$J$10,MATCH(B141,'01_Benchmark_Input'!$A$2:$A$10,0))</f>
        <v/>
      </c>
      <c r="V141" s="10">
        <f>'02_Inputs'!K141</f>
        <v/>
      </c>
      <c r="W141" s="12">
        <f>N141*R141+O141*S141+P141*T141+Q141*U141</f>
        <v/>
      </c>
      <c r="X141" s="12">
        <f>W141*V141</f>
        <v/>
      </c>
      <c r="Y141" s="12">
        <f>L141*1000*X141*86400</f>
        <v/>
      </c>
      <c r="Z141" s="12">
        <f>Y141*365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'02_GPU_Mix_Input'!D142</f>
        <v/>
      </c>
      <c r="O142" s="10">
        <f>'02_GPU_Mix_Input'!E142</f>
        <v/>
      </c>
      <c r="P142" s="10">
        <f>'02_GPU_Mix_Input'!F142</f>
        <v/>
      </c>
      <c r="Q142" s="10">
        <f>'02_GPU_Mix_Input'!G142</f>
        <v/>
      </c>
      <c r="R142" s="12">
        <f>INDEX('01_Benchmark_Input'!$D$2:$D$10,MATCH(B142,'01_Benchmark_Input'!$A$2:$A$10,0))</f>
        <v/>
      </c>
      <c r="S142" s="12">
        <f>INDEX('01_Benchmark_Input'!$F$2:$F$10,MATCH(B142,'01_Benchmark_Input'!$A$2:$A$10,0))</f>
        <v/>
      </c>
      <c r="T142" s="12">
        <f>INDEX('01_Benchmark_Input'!$H$2:$H$10,MATCH(B142,'01_Benchmark_Input'!$A$2:$A$10,0))</f>
        <v/>
      </c>
      <c r="U142" s="12">
        <f>INDEX('01_Benchmark_Input'!$J$2:$J$10,MATCH(B142,'01_Benchmark_Input'!$A$2:$A$10,0))</f>
        <v/>
      </c>
      <c r="V142" s="10">
        <f>'02_Inputs'!K142</f>
        <v/>
      </c>
      <c r="W142" s="12">
        <f>N142*R142+O142*S142+P142*T142+Q142*U142</f>
        <v/>
      </c>
      <c r="X142" s="12">
        <f>W142*V142</f>
        <v/>
      </c>
      <c r="Y142" s="12">
        <f>L142*1000*X142*86400</f>
        <v/>
      </c>
      <c r="Z142" s="12">
        <f>Y142*365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'02_GPU_Mix_Input'!D143</f>
        <v/>
      </c>
      <c r="O143" s="10">
        <f>'02_GPU_Mix_Input'!E143</f>
        <v/>
      </c>
      <c r="P143" s="10">
        <f>'02_GPU_Mix_Input'!F143</f>
        <v/>
      </c>
      <c r="Q143" s="10">
        <f>'02_GPU_Mix_Input'!G143</f>
        <v/>
      </c>
      <c r="R143" s="12">
        <f>INDEX('01_Benchmark_Input'!$D$2:$D$10,MATCH(B143,'01_Benchmark_Input'!$A$2:$A$10,0))</f>
        <v/>
      </c>
      <c r="S143" s="12">
        <f>INDEX('01_Benchmark_Input'!$F$2:$F$10,MATCH(B143,'01_Benchmark_Input'!$A$2:$A$10,0))</f>
        <v/>
      </c>
      <c r="T143" s="12">
        <f>INDEX('01_Benchmark_Input'!$H$2:$H$10,MATCH(B143,'01_Benchmark_Input'!$A$2:$A$10,0))</f>
        <v/>
      </c>
      <c r="U143" s="12">
        <f>INDEX('01_Benchmark_Input'!$J$2:$J$10,MATCH(B143,'01_Benchmark_Input'!$A$2:$A$10,0))</f>
        <v/>
      </c>
      <c r="V143" s="10">
        <f>'02_Inputs'!K143</f>
        <v/>
      </c>
      <c r="W143" s="12">
        <f>N143*R143+O143*S143+P143*T143+Q143*U143</f>
        <v/>
      </c>
      <c r="X143" s="12">
        <f>W143*V143</f>
        <v/>
      </c>
      <c r="Y143" s="12">
        <f>L143*1000*X143*86400</f>
        <v/>
      </c>
      <c r="Z143" s="12">
        <f>Y143*365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'02_GPU_Mix_Input'!D144</f>
        <v/>
      </c>
      <c r="O144" s="10">
        <f>'02_GPU_Mix_Input'!E144</f>
        <v/>
      </c>
      <c r="P144" s="10">
        <f>'02_GPU_Mix_Input'!F144</f>
        <v/>
      </c>
      <c r="Q144" s="10">
        <f>'02_GPU_Mix_Input'!G144</f>
        <v/>
      </c>
      <c r="R144" s="12">
        <f>INDEX('01_Benchmark_Input'!$D$2:$D$10,MATCH(B144,'01_Benchmark_Input'!$A$2:$A$10,0))</f>
        <v/>
      </c>
      <c r="S144" s="12">
        <f>INDEX('01_Benchmark_Input'!$F$2:$F$10,MATCH(B144,'01_Benchmark_Input'!$A$2:$A$10,0))</f>
        <v/>
      </c>
      <c r="T144" s="12">
        <f>INDEX('01_Benchmark_Input'!$H$2:$H$10,MATCH(B144,'01_Benchmark_Input'!$A$2:$A$10,0))</f>
        <v/>
      </c>
      <c r="U144" s="12">
        <f>INDEX('01_Benchmark_Input'!$J$2:$J$10,MATCH(B144,'01_Benchmark_Input'!$A$2:$A$10,0))</f>
        <v/>
      </c>
      <c r="V144" s="10">
        <f>'02_Inputs'!K144</f>
        <v/>
      </c>
      <c r="W144" s="12">
        <f>N144*R144+O144*S144+P144*T144+Q144*U144</f>
        <v/>
      </c>
      <c r="X144" s="12">
        <f>W144*V144</f>
        <v/>
      </c>
      <c r="Y144" s="12">
        <f>L144*1000*X144*86400</f>
        <v/>
      </c>
      <c r="Z144" s="12">
        <f>Y144*365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'02_GPU_Mix_Input'!D145</f>
        <v/>
      </c>
      <c r="O145" s="10">
        <f>'02_GPU_Mix_Input'!E145</f>
        <v/>
      </c>
      <c r="P145" s="10">
        <f>'02_GPU_Mix_Input'!F145</f>
        <v/>
      </c>
      <c r="Q145" s="10">
        <f>'02_GPU_Mix_Input'!G145</f>
        <v/>
      </c>
      <c r="R145" s="12">
        <f>INDEX('01_Benchmark_Input'!$D$2:$D$10,MATCH(B145,'01_Benchmark_Input'!$A$2:$A$10,0))</f>
        <v/>
      </c>
      <c r="S145" s="12">
        <f>INDEX('01_Benchmark_Input'!$F$2:$F$10,MATCH(B145,'01_Benchmark_Input'!$A$2:$A$10,0))</f>
        <v/>
      </c>
      <c r="T145" s="12">
        <f>INDEX('01_Benchmark_Input'!$H$2:$H$10,MATCH(B145,'01_Benchmark_Input'!$A$2:$A$10,0))</f>
        <v/>
      </c>
      <c r="U145" s="12">
        <f>INDEX('01_Benchmark_Input'!$J$2:$J$10,MATCH(B145,'01_Benchmark_Input'!$A$2:$A$10,0))</f>
        <v/>
      </c>
      <c r="V145" s="10">
        <f>'02_Inputs'!K145</f>
        <v/>
      </c>
      <c r="W145" s="12">
        <f>N145*R145+O145*S145+P145*T145+Q145*U145</f>
        <v/>
      </c>
      <c r="X145" s="12">
        <f>W145*V145</f>
        <v/>
      </c>
      <c r="Y145" s="12">
        <f>L145*1000*X145*86400</f>
        <v/>
      </c>
      <c r="Z145" s="12">
        <f>Y145*365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'02_GPU_Mix_Input'!D146</f>
        <v/>
      </c>
      <c r="O146" s="10">
        <f>'02_GPU_Mix_Input'!E146</f>
        <v/>
      </c>
      <c r="P146" s="10">
        <f>'02_GPU_Mix_Input'!F146</f>
        <v/>
      </c>
      <c r="Q146" s="10">
        <f>'02_GPU_Mix_Input'!G146</f>
        <v/>
      </c>
      <c r="R146" s="12">
        <f>INDEX('01_Benchmark_Input'!$D$2:$D$10,MATCH(B146,'01_Benchmark_Input'!$A$2:$A$10,0))</f>
        <v/>
      </c>
      <c r="S146" s="12">
        <f>INDEX('01_Benchmark_Input'!$F$2:$F$10,MATCH(B146,'01_Benchmark_Input'!$A$2:$A$10,0))</f>
        <v/>
      </c>
      <c r="T146" s="12">
        <f>INDEX('01_Benchmark_Input'!$H$2:$H$10,MATCH(B146,'01_Benchmark_Input'!$A$2:$A$10,0))</f>
        <v/>
      </c>
      <c r="U146" s="12">
        <f>INDEX('01_Benchmark_Input'!$J$2:$J$10,MATCH(B146,'01_Benchmark_Input'!$A$2:$A$10,0))</f>
        <v/>
      </c>
      <c r="V146" s="10">
        <f>'02_Inputs'!K146</f>
        <v/>
      </c>
      <c r="W146" s="12">
        <f>N146*R146+O146*S146+P146*T146+Q146*U146</f>
        <v/>
      </c>
      <c r="X146" s="12">
        <f>W146*V146</f>
        <v/>
      </c>
      <c r="Y146" s="12">
        <f>L146*1000*X146*86400</f>
        <v/>
      </c>
      <c r="Z146" s="12">
        <f>Y146*365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'02_GPU_Mix_Input'!D147</f>
        <v/>
      </c>
      <c r="O147" s="10">
        <f>'02_GPU_Mix_Input'!E147</f>
        <v/>
      </c>
      <c r="P147" s="10">
        <f>'02_GPU_Mix_Input'!F147</f>
        <v/>
      </c>
      <c r="Q147" s="10">
        <f>'02_GPU_Mix_Input'!G147</f>
        <v/>
      </c>
      <c r="R147" s="12">
        <f>INDEX('01_Benchmark_Input'!$D$2:$D$10,MATCH(B147,'01_Benchmark_Input'!$A$2:$A$10,0))</f>
        <v/>
      </c>
      <c r="S147" s="12">
        <f>INDEX('01_Benchmark_Input'!$F$2:$F$10,MATCH(B147,'01_Benchmark_Input'!$A$2:$A$10,0))</f>
        <v/>
      </c>
      <c r="T147" s="12">
        <f>INDEX('01_Benchmark_Input'!$H$2:$H$10,MATCH(B147,'01_Benchmark_Input'!$A$2:$A$10,0))</f>
        <v/>
      </c>
      <c r="U147" s="12">
        <f>INDEX('01_Benchmark_Input'!$J$2:$J$10,MATCH(B147,'01_Benchmark_Input'!$A$2:$A$10,0))</f>
        <v/>
      </c>
      <c r="V147" s="10">
        <f>'02_Inputs'!K147</f>
        <v/>
      </c>
      <c r="W147" s="12">
        <f>N147*R147+O147*S147+P147*T147+Q147*U147</f>
        <v/>
      </c>
      <c r="X147" s="12">
        <f>W147*V147</f>
        <v/>
      </c>
      <c r="Y147" s="12">
        <f>L147*1000*X147*86400</f>
        <v/>
      </c>
      <c r="Z147" s="12">
        <f>Y147*365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'02_GPU_Mix_Input'!D148</f>
        <v/>
      </c>
      <c r="O148" s="10">
        <f>'02_GPU_Mix_Input'!E148</f>
        <v/>
      </c>
      <c r="P148" s="10">
        <f>'02_GPU_Mix_Input'!F148</f>
        <v/>
      </c>
      <c r="Q148" s="10">
        <f>'02_GPU_Mix_Input'!G148</f>
        <v/>
      </c>
      <c r="R148" s="12">
        <f>INDEX('01_Benchmark_Input'!$D$2:$D$10,MATCH(B148,'01_Benchmark_Input'!$A$2:$A$10,0))</f>
        <v/>
      </c>
      <c r="S148" s="12">
        <f>INDEX('01_Benchmark_Input'!$F$2:$F$10,MATCH(B148,'01_Benchmark_Input'!$A$2:$A$10,0))</f>
        <v/>
      </c>
      <c r="T148" s="12">
        <f>INDEX('01_Benchmark_Input'!$H$2:$H$10,MATCH(B148,'01_Benchmark_Input'!$A$2:$A$10,0))</f>
        <v/>
      </c>
      <c r="U148" s="12">
        <f>INDEX('01_Benchmark_Input'!$J$2:$J$10,MATCH(B148,'01_Benchmark_Input'!$A$2:$A$10,0))</f>
        <v/>
      </c>
      <c r="V148" s="10">
        <f>'02_Inputs'!K148</f>
        <v/>
      </c>
      <c r="W148" s="12">
        <f>N148*R148+O148*S148+P148*T148+Q148*U148</f>
        <v/>
      </c>
      <c r="X148" s="12">
        <f>W148*V148</f>
        <v/>
      </c>
      <c r="Y148" s="12">
        <f>L148*1000*X148*86400</f>
        <v/>
      </c>
      <c r="Z148" s="12">
        <f>Y148*365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'02_GPU_Mix_Input'!D149</f>
        <v/>
      </c>
      <c r="O149" s="10">
        <f>'02_GPU_Mix_Input'!E149</f>
        <v/>
      </c>
      <c r="P149" s="10">
        <f>'02_GPU_Mix_Input'!F149</f>
        <v/>
      </c>
      <c r="Q149" s="10">
        <f>'02_GPU_Mix_Input'!G149</f>
        <v/>
      </c>
      <c r="R149" s="12">
        <f>INDEX('01_Benchmark_Input'!$D$2:$D$10,MATCH(B149,'01_Benchmark_Input'!$A$2:$A$10,0))</f>
        <v/>
      </c>
      <c r="S149" s="12">
        <f>INDEX('01_Benchmark_Input'!$F$2:$F$10,MATCH(B149,'01_Benchmark_Input'!$A$2:$A$10,0))</f>
        <v/>
      </c>
      <c r="T149" s="12">
        <f>INDEX('01_Benchmark_Input'!$H$2:$H$10,MATCH(B149,'01_Benchmark_Input'!$A$2:$A$10,0))</f>
        <v/>
      </c>
      <c r="U149" s="12">
        <f>INDEX('01_Benchmark_Input'!$J$2:$J$10,MATCH(B149,'01_Benchmark_Input'!$A$2:$A$10,0))</f>
        <v/>
      </c>
      <c r="V149" s="10">
        <f>'02_Inputs'!K149</f>
        <v/>
      </c>
      <c r="W149" s="12">
        <f>N149*R149+O149*S149+P149*T149+Q149*U149</f>
        <v/>
      </c>
      <c r="X149" s="12">
        <f>W149*V149</f>
        <v/>
      </c>
      <c r="Y149" s="12">
        <f>L149*1000*X149*86400</f>
        <v/>
      </c>
      <c r="Z149" s="12">
        <f>Y149*365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'02_GPU_Mix_Input'!D150</f>
        <v/>
      </c>
      <c r="O150" s="10">
        <f>'02_GPU_Mix_Input'!E150</f>
        <v/>
      </c>
      <c r="P150" s="10">
        <f>'02_GPU_Mix_Input'!F150</f>
        <v/>
      </c>
      <c r="Q150" s="10">
        <f>'02_GPU_Mix_Input'!G150</f>
        <v/>
      </c>
      <c r="R150" s="12">
        <f>INDEX('01_Benchmark_Input'!$D$2:$D$10,MATCH(B150,'01_Benchmark_Input'!$A$2:$A$10,0))</f>
        <v/>
      </c>
      <c r="S150" s="12">
        <f>INDEX('01_Benchmark_Input'!$F$2:$F$10,MATCH(B150,'01_Benchmark_Input'!$A$2:$A$10,0))</f>
        <v/>
      </c>
      <c r="T150" s="12">
        <f>INDEX('01_Benchmark_Input'!$H$2:$H$10,MATCH(B150,'01_Benchmark_Input'!$A$2:$A$10,0))</f>
        <v/>
      </c>
      <c r="U150" s="12">
        <f>INDEX('01_Benchmark_Input'!$J$2:$J$10,MATCH(B150,'01_Benchmark_Input'!$A$2:$A$10,0))</f>
        <v/>
      </c>
      <c r="V150" s="10">
        <f>'02_Inputs'!K150</f>
        <v/>
      </c>
      <c r="W150" s="12">
        <f>N150*R150+O150*S150+P150*T150+Q150*U150</f>
        <v/>
      </c>
      <c r="X150" s="12">
        <f>W150*V150</f>
        <v/>
      </c>
      <c r="Y150" s="12">
        <f>L150*1000*X150*86400</f>
        <v/>
      </c>
      <c r="Z150" s="12">
        <f>Y150*365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'02_GPU_Mix_Input'!D151</f>
        <v/>
      </c>
      <c r="O151" s="10">
        <f>'02_GPU_Mix_Input'!E151</f>
        <v/>
      </c>
      <c r="P151" s="10">
        <f>'02_GPU_Mix_Input'!F151</f>
        <v/>
      </c>
      <c r="Q151" s="10">
        <f>'02_GPU_Mix_Input'!G151</f>
        <v/>
      </c>
      <c r="R151" s="12">
        <f>INDEX('01_Benchmark_Input'!$D$2:$D$10,MATCH(B151,'01_Benchmark_Input'!$A$2:$A$10,0))</f>
        <v/>
      </c>
      <c r="S151" s="12">
        <f>INDEX('01_Benchmark_Input'!$F$2:$F$10,MATCH(B151,'01_Benchmark_Input'!$A$2:$A$10,0))</f>
        <v/>
      </c>
      <c r="T151" s="12">
        <f>INDEX('01_Benchmark_Input'!$H$2:$H$10,MATCH(B151,'01_Benchmark_Input'!$A$2:$A$10,0))</f>
        <v/>
      </c>
      <c r="U151" s="12">
        <f>INDEX('01_Benchmark_Input'!$J$2:$J$10,MATCH(B151,'01_Benchmark_Input'!$A$2:$A$10,0))</f>
        <v/>
      </c>
      <c r="V151" s="10">
        <f>'02_Inputs'!K151</f>
        <v/>
      </c>
      <c r="W151" s="12">
        <f>N151*R151+O151*S151+P151*T151+Q151*U151</f>
        <v/>
      </c>
      <c r="X151" s="12">
        <f>W151*V151</f>
        <v/>
      </c>
      <c r="Y151" s="12">
        <f>L151*1000*X151*86400</f>
        <v/>
      </c>
      <c r="Z151" s="12">
        <f>Y151*365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'02_GPU_Mix_Input'!D152</f>
        <v/>
      </c>
      <c r="O152" s="10">
        <f>'02_GPU_Mix_Input'!E152</f>
        <v/>
      </c>
      <c r="P152" s="10">
        <f>'02_GPU_Mix_Input'!F152</f>
        <v/>
      </c>
      <c r="Q152" s="10">
        <f>'02_GPU_Mix_Input'!G152</f>
        <v/>
      </c>
      <c r="R152" s="12">
        <f>INDEX('01_Benchmark_Input'!$D$2:$D$10,MATCH(B152,'01_Benchmark_Input'!$A$2:$A$10,0))</f>
        <v/>
      </c>
      <c r="S152" s="12">
        <f>INDEX('01_Benchmark_Input'!$F$2:$F$10,MATCH(B152,'01_Benchmark_Input'!$A$2:$A$10,0))</f>
        <v/>
      </c>
      <c r="T152" s="12">
        <f>INDEX('01_Benchmark_Input'!$H$2:$H$10,MATCH(B152,'01_Benchmark_Input'!$A$2:$A$10,0))</f>
        <v/>
      </c>
      <c r="U152" s="12">
        <f>INDEX('01_Benchmark_Input'!$J$2:$J$10,MATCH(B152,'01_Benchmark_Input'!$A$2:$A$10,0))</f>
        <v/>
      </c>
      <c r="V152" s="10">
        <f>'02_Inputs'!K152</f>
        <v/>
      </c>
      <c r="W152" s="12">
        <f>N152*R152+O152*S152+P152*T152+Q152*U152</f>
        <v/>
      </c>
      <c r="X152" s="12">
        <f>W152*V152</f>
        <v/>
      </c>
      <c r="Y152" s="12">
        <f>L152*1000*X152*86400</f>
        <v/>
      </c>
      <c r="Z152" s="12">
        <f>Y152*365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'02_GPU_Mix_Input'!D153</f>
        <v/>
      </c>
      <c r="O153" s="10">
        <f>'02_GPU_Mix_Input'!E153</f>
        <v/>
      </c>
      <c r="P153" s="10">
        <f>'02_GPU_Mix_Input'!F153</f>
        <v/>
      </c>
      <c r="Q153" s="10">
        <f>'02_GPU_Mix_Input'!G153</f>
        <v/>
      </c>
      <c r="R153" s="12">
        <f>INDEX('01_Benchmark_Input'!$D$2:$D$10,MATCH(B153,'01_Benchmark_Input'!$A$2:$A$10,0))</f>
        <v/>
      </c>
      <c r="S153" s="12">
        <f>INDEX('01_Benchmark_Input'!$F$2:$F$10,MATCH(B153,'01_Benchmark_Input'!$A$2:$A$10,0))</f>
        <v/>
      </c>
      <c r="T153" s="12">
        <f>INDEX('01_Benchmark_Input'!$H$2:$H$10,MATCH(B153,'01_Benchmark_Input'!$A$2:$A$10,0))</f>
        <v/>
      </c>
      <c r="U153" s="12">
        <f>INDEX('01_Benchmark_Input'!$J$2:$J$10,MATCH(B153,'01_Benchmark_Input'!$A$2:$A$10,0))</f>
        <v/>
      </c>
      <c r="V153" s="10">
        <f>'02_Inputs'!K153</f>
        <v/>
      </c>
      <c r="W153" s="12">
        <f>N153*R153+O153*S153+P153*T153+Q153*U153</f>
        <v/>
      </c>
      <c r="X153" s="12">
        <f>W153*V153</f>
        <v/>
      </c>
      <c r="Y153" s="12">
        <f>L153*1000*X153*86400</f>
        <v/>
      </c>
      <c r="Z153" s="12">
        <f>Y153*365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'02_GPU_Mix_Input'!D154</f>
        <v/>
      </c>
      <c r="O154" s="10">
        <f>'02_GPU_Mix_Input'!E154</f>
        <v/>
      </c>
      <c r="P154" s="10">
        <f>'02_GPU_Mix_Input'!F154</f>
        <v/>
      </c>
      <c r="Q154" s="10">
        <f>'02_GPU_Mix_Input'!G154</f>
        <v/>
      </c>
      <c r="R154" s="12">
        <f>INDEX('01_Benchmark_Input'!$D$2:$D$10,MATCH(B154,'01_Benchmark_Input'!$A$2:$A$10,0))</f>
        <v/>
      </c>
      <c r="S154" s="12">
        <f>INDEX('01_Benchmark_Input'!$F$2:$F$10,MATCH(B154,'01_Benchmark_Input'!$A$2:$A$10,0))</f>
        <v/>
      </c>
      <c r="T154" s="12">
        <f>INDEX('01_Benchmark_Input'!$H$2:$H$10,MATCH(B154,'01_Benchmark_Input'!$A$2:$A$10,0))</f>
        <v/>
      </c>
      <c r="U154" s="12">
        <f>INDEX('01_Benchmark_Input'!$J$2:$J$10,MATCH(B154,'01_Benchmark_Input'!$A$2:$A$10,0))</f>
        <v/>
      </c>
      <c r="V154" s="10">
        <f>'02_Inputs'!K154</f>
        <v/>
      </c>
      <c r="W154" s="12">
        <f>N154*R154+O154*S154+P154*T154+Q154*U154</f>
        <v/>
      </c>
      <c r="X154" s="12">
        <f>W154*V154</f>
        <v/>
      </c>
      <c r="Y154" s="12">
        <f>L154*1000*X154*86400</f>
        <v/>
      </c>
      <c r="Z154" s="12">
        <f>Y154*365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'02_GPU_Mix_Input'!D155</f>
        <v/>
      </c>
      <c r="O155" s="10">
        <f>'02_GPU_Mix_Input'!E155</f>
        <v/>
      </c>
      <c r="P155" s="10">
        <f>'02_GPU_Mix_Input'!F155</f>
        <v/>
      </c>
      <c r="Q155" s="10">
        <f>'02_GPU_Mix_Input'!G155</f>
        <v/>
      </c>
      <c r="R155" s="12">
        <f>INDEX('01_Benchmark_Input'!$D$2:$D$10,MATCH(B155,'01_Benchmark_Input'!$A$2:$A$10,0))</f>
        <v/>
      </c>
      <c r="S155" s="12">
        <f>INDEX('01_Benchmark_Input'!$F$2:$F$10,MATCH(B155,'01_Benchmark_Input'!$A$2:$A$10,0))</f>
        <v/>
      </c>
      <c r="T155" s="12">
        <f>INDEX('01_Benchmark_Input'!$H$2:$H$10,MATCH(B155,'01_Benchmark_Input'!$A$2:$A$10,0))</f>
        <v/>
      </c>
      <c r="U155" s="12">
        <f>INDEX('01_Benchmark_Input'!$J$2:$J$10,MATCH(B155,'01_Benchmark_Input'!$A$2:$A$10,0))</f>
        <v/>
      </c>
      <c r="V155" s="10">
        <f>'02_Inputs'!K155</f>
        <v/>
      </c>
      <c r="W155" s="12">
        <f>N155*R155+O155*S155+P155*T155+Q155*U155</f>
        <v/>
      </c>
      <c r="X155" s="12">
        <f>W155*V155</f>
        <v/>
      </c>
      <c r="Y155" s="12">
        <f>L155*1000*X155*86400</f>
        <v/>
      </c>
      <c r="Z155" s="12">
        <f>Y155*365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'02_GPU_Mix_Input'!D156</f>
        <v/>
      </c>
      <c r="O156" s="10">
        <f>'02_GPU_Mix_Input'!E156</f>
        <v/>
      </c>
      <c r="P156" s="10">
        <f>'02_GPU_Mix_Input'!F156</f>
        <v/>
      </c>
      <c r="Q156" s="10">
        <f>'02_GPU_Mix_Input'!G156</f>
        <v/>
      </c>
      <c r="R156" s="12">
        <f>INDEX('01_Benchmark_Input'!$D$2:$D$10,MATCH(B156,'01_Benchmark_Input'!$A$2:$A$10,0))</f>
        <v/>
      </c>
      <c r="S156" s="12">
        <f>INDEX('01_Benchmark_Input'!$F$2:$F$10,MATCH(B156,'01_Benchmark_Input'!$A$2:$A$10,0))</f>
        <v/>
      </c>
      <c r="T156" s="12">
        <f>INDEX('01_Benchmark_Input'!$H$2:$H$10,MATCH(B156,'01_Benchmark_Input'!$A$2:$A$10,0))</f>
        <v/>
      </c>
      <c r="U156" s="12">
        <f>INDEX('01_Benchmark_Input'!$J$2:$J$10,MATCH(B156,'01_Benchmark_Input'!$A$2:$A$10,0))</f>
        <v/>
      </c>
      <c r="V156" s="10">
        <f>'02_Inputs'!K156</f>
        <v/>
      </c>
      <c r="W156" s="12">
        <f>N156*R156+O156*S156+P156*T156+Q156*U156</f>
        <v/>
      </c>
      <c r="X156" s="12">
        <f>W156*V156</f>
        <v/>
      </c>
      <c r="Y156" s="12">
        <f>L156*1000*X156*86400</f>
        <v/>
      </c>
      <c r="Z156" s="12">
        <f>Y156*365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'02_GPU_Mix_Input'!D157</f>
        <v/>
      </c>
      <c r="O157" s="10">
        <f>'02_GPU_Mix_Input'!E157</f>
        <v/>
      </c>
      <c r="P157" s="10">
        <f>'02_GPU_Mix_Input'!F157</f>
        <v/>
      </c>
      <c r="Q157" s="10">
        <f>'02_GPU_Mix_Input'!G157</f>
        <v/>
      </c>
      <c r="R157" s="12">
        <f>INDEX('01_Benchmark_Input'!$D$2:$D$10,MATCH(B157,'01_Benchmark_Input'!$A$2:$A$10,0))</f>
        <v/>
      </c>
      <c r="S157" s="12">
        <f>INDEX('01_Benchmark_Input'!$F$2:$F$10,MATCH(B157,'01_Benchmark_Input'!$A$2:$A$10,0))</f>
        <v/>
      </c>
      <c r="T157" s="12">
        <f>INDEX('01_Benchmark_Input'!$H$2:$H$10,MATCH(B157,'01_Benchmark_Input'!$A$2:$A$10,0))</f>
        <v/>
      </c>
      <c r="U157" s="12">
        <f>INDEX('01_Benchmark_Input'!$J$2:$J$10,MATCH(B157,'01_Benchmark_Input'!$A$2:$A$10,0))</f>
        <v/>
      </c>
      <c r="V157" s="10">
        <f>'02_Inputs'!K157</f>
        <v/>
      </c>
      <c r="W157" s="12">
        <f>N157*R157+O157*S157+P157*T157+Q157*U157</f>
        <v/>
      </c>
      <c r="X157" s="12">
        <f>W157*V157</f>
        <v/>
      </c>
      <c r="Y157" s="12">
        <f>L157*1000*X157*86400</f>
        <v/>
      </c>
      <c r="Z157" s="12">
        <f>Y157*365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'02_GPU_Mix_Input'!D158</f>
        <v/>
      </c>
      <c r="O158" s="10">
        <f>'02_GPU_Mix_Input'!E158</f>
        <v/>
      </c>
      <c r="P158" s="10">
        <f>'02_GPU_Mix_Input'!F158</f>
        <v/>
      </c>
      <c r="Q158" s="10">
        <f>'02_GPU_Mix_Input'!G158</f>
        <v/>
      </c>
      <c r="R158" s="12">
        <f>INDEX('01_Benchmark_Input'!$D$2:$D$10,MATCH(B158,'01_Benchmark_Input'!$A$2:$A$10,0))</f>
        <v/>
      </c>
      <c r="S158" s="12">
        <f>INDEX('01_Benchmark_Input'!$F$2:$F$10,MATCH(B158,'01_Benchmark_Input'!$A$2:$A$10,0))</f>
        <v/>
      </c>
      <c r="T158" s="12">
        <f>INDEX('01_Benchmark_Input'!$H$2:$H$10,MATCH(B158,'01_Benchmark_Input'!$A$2:$A$10,0))</f>
        <v/>
      </c>
      <c r="U158" s="12">
        <f>INDEX('01_Benchmark_Input'!$J$2:$J$10,MATCH(B158,'01_Benchmark_Input'!$A$2:$A$10,0))</f>
        <v/>
      </c>
      <c r="V158" s="10">
        <f>'02_Inputs'!K158</f>
        <v/>
      </c>
      <c r="W158" s="12">
        <f>N158*R158+O158*S158+P158*T158+Q158*U158</f>
        <v/>
      </c>
      <c r="X158" s="12">
        <f>W158*V158</f>
        <v/>
      </c>
      <c r="Y158" s="12">
        <f>L158*1000*X158*86400</f>
        <v/>
      </c>
      <c r="Z158" s="12">
        <f>Y158*365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'02_GPU_Mix_Input'!D159</f>
        <v/>
      </c>
      <c r="O159" s="10">
        <f>'02_GPU_Mix_Input'!E159</f>
        <v/>
      </c>
      <c r="P159" s="10">
        <f>'02_GPU_Mix_Input'!F159</f>
        <v/>
      </c>
      <c r="Q159" s="10">
        <f>'02_GPU_Mix_Input'!G159</f>
        <v/>
      </c>
      <c r="R159" s="12">
        <f>INDEX('01_Benchmark_Input'!$D$2:$D$10,MATCH(B159,'01_Benchmark_Input'!$A$2:$A$10,0))</f>
        <v/>
      </c>
      <c r="S159" s="12">
        <f>INDEX('01_Benchmark_Input'!$F$2:$F$10,MATCH(B159,'01_Benchmark_Input'!$A$2:$A$10,0))</f>
        <v/>
      </c>
      <c r="T159" s="12">
        <f>INDEX('01_Benchmark_Input'!$H$2:$H$10,MATCH(B159,'01_Benchmark_Input'!$A$2:$A$10,0))</f>
        <v/>
      </c>
      <c r="U159" s="12">
        <f>INDEX('01_Benchmark_Input'!$J$2:$J$10,MATCH(B159,'01_Benchmark_Input'!$A$2:$A$10,0))</f>
        <v/>
      </c>
      <c r="V159" s="10">
        <f>'02_Inputs'!K159</f>
        <v/>
      </c>
      <c r="W159" s="12">
        <f>N159*R159+O159*S159+P159*T159+Q159*U159</f>
        <v/>
      </c>
      <c r="X159" s="12">
        <f>W159*V159</f>
        <v/>
      </c>
      <c r="Y159" s="12">
        <f>L159*1000*X159*86400</f>
        <v/>
      </c>
      <c r="Z159" s="12">
        <f>Y159*365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'02_GPU_Mix_Input'!D160</f>
        <v/>
      </c>
      <c r="O160" s="10">
        <f>'02_GPU_Mix_Input'!E160</f>
        <v/>
      </c>
      <c r="P160" s="10">
        <f>'02_GPU_Mix_Input'!F160</f>
        <v/>
      </c>
      <c r="Q160" s="10">
        <f>'02_GPU_Mix_Input'!G160</f>
        <v/>
      </c>
      <c r="R160" s="12">
        <f>INDEX('01_Benchmark_Input'!$D$2:$D$10,MATCH(B160,'01_Benchmark_Input'!$A$2:$A$10,0))</f>
        <v/>
      </c>
      <c r="S160" s="12">
        <f>INDEX('01_Benchmark_Input'!$F$2:$F$10,MATCH(B160,'01_Benchmark_Input'!$A$2:$A$10,0))</f>
        <v/>
      </c>
      <c r="T160" s="12">
        <f>INDEX('01_Benchmark_Input'!$H$2:$H$10,MATCH(B160,'01_Benchmark_Input'!$A$2:$A$10,0))</f>
        <v/>
      </c>
      <c r="U160" s="12">
        <f>INDEX('01_Benchmark_Input'!$J$2:$J$10,MATCH(B160,'01_Benchmark_Input'!$A$2:$A$10,0))</f>
        <v/>
      </c>
      <c r="V160" s="10">
        <f>'02_Inputs'!K160</f>
        <v/>
      </c>
      <c r="W160" s="12">
        <f>N160*R160+O160*S160+P160*T160+Q160*U160</f>
        <v/>
      </c>
      <c r="X160" s="12">
        <f>W160*V160</f>
        <v/>
      </c>
      <c r="Y160" s="12">
        <f>L160*1000*X160*86400</f>
        <v/>
      </c>
      <c r="Z160" s="12">
        <f>Y160*365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'02_GPU_Mix_Input'!D161</f>
        <v/>
      </c>
      <c r="O161" s="10">
        <f>'02_GPU_Mix_Input'!E161</f>
        <v/>
      </c>
      <c r="P161" s="10">
        <f>'02_GPU_Mix_Input'!F161</f>
        <v/>
      </c>
      <c r="Q161" s="10">
        <f>'02_GPU_Mix_Input'!G161</f>
        <v/>
      </c>
      <c r="R161" s="12">
        <f>INDEX('01_Benchmark_Input'!$D$2:$D$10,MATCH(B161,'01_Benchmark_Input'!$A$2:$A$10,0))</f>
        <v/>
      </c>
      <c r="S161" s="12">
        <f>INDEX('01_Benchmark_Input'!$F$2:$F$10,MATCH(B161,'01_Benchmark_Input'!$A$2:$A$10,0))</f>
        <v/>
      </c>
      <c r="T161" s="12">
        <f>INDEX('01_Benchmark_Input'!$H$2:$H$10,MATCH(B161,'01_Benchmark_Input'!$A$2:$A$10,0))</f>
        <v/>
      </c>
      <c r="U161" s="12">
        <f>INDEX('01_Benchmark_Input'!$J$2:$J$10,MATCH(B161,'01_Benchmark_Input'!$A$2:$A$10,0))</f>
        <v/>
      </c>
      <c r="V161" s="10">
        <f>'02_Inputs'!K161</f>
        <v/>
      </c>
      <c r="W161" s="12">
        <f>N161*R161+O161*S161+P161*T161+Q161*U161</f>
        <v/>
      </c>
      <c r="X161" s="12">
        <f>W161*V161</f>
        <v/>
      </c>
      <c r="Y161" s="12">
        <f>L161*1000*X161*86400</f>
        <v/>
      </c>
      <c r="Z161" s="12">
        <f>Y161*365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'02_GPU_Mix_Input'!D162</f>
        <v/>
      </c>
      <c r="O162" s="10">
        <f>'02_GPU_Mix_Input'!E162</f>
        <v/>
      </c>
      <c r="P162" s="10">
        <f>'02_GPU_Mix_Input'!F162</f>
        <v/>
      </c>
      <c r="Q162" s="10">
        <f>'02_GPU_Mix_Input'!G162</f>
        <v/>
      </c>
      <c r="R162" s="12">
        <f>INDEX('01_Benchmark_Input'!$D$2:$D$10,MATCH(B162,'01_Benchmark_Input'!$A$2:$A$10,0))</f>
        <v/>
      </c>
      <c r="S162" s="12">
        <f>INDEX('01_Benchmark_Input'!$F$2:$F$10,MATCH(B162,'01_Benchmark_Input'!$A$2:$A$10,0))</f>
        <v/>
      </c>
      <c r="T162" s="12">
        <f>INDEX('01_Benchmark_Input'!$H$2:$H$10,MATCH(B162,'01_Benchmark_Input'!$A$2:$A$10,0))</f>
        <v/>
      </c>
      <c r="U162" s="12">
        <f>INDEX('01_Benchmark_Input'!$J$2:$J$10,MATCH(B162,'01_Benchmark_Input'!$A$2:$A$10,0))</f>
        <v/>
      </c>
      <c r="V162" s="10">
        <f>'02_Inputs'!K162</f>
        <v/>
      </c>
      <c r="W162" s="12">
        <f>N162*R162+O162*S162+P162*T162+Q162*U162</f>
        <v/>
      </c>
      <c r="X162" s="12">
        <f>W162*V162</f>
        <v/>
      </c>
      <c r="Y162" s="12">
        <f>L162*1000*X162*86400</f>
        <v/>
      </c>
      <c r="Z162" s="12">
        <f>Y162*365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'02_GPU_Mix_Input'!D163</f>
        <v/>
      </c>
      <c r="O163" s="10">
        <f>'02_GPU_Mix_Input'!E163</f>
        <v/>
      </c>
      <c r="P163" s="10">
        <f>'02_GPU_Mix_Input'!F163</f>
        <v/>
      </c>
      <c r="Q163" s="10">
        <f>'02_GPU_Mix_Input'!G163</f>
        <v/>
      </c>
      <c r="R163" s="12">
        <f>INDEX('01_Benchmark_Input'!$D$2:$D$10,MATCH(B163,'01_Benchmark_Input'!$A$2:$A$10,0))</f>
        <v/>
      </c>
      <c r="S163" s="12">
        <f>INDEX('01_Benchmark_Input'!$F$2:$F$10,MATCH(B163,'01_Benchmark_Input'!$A$2:$A$10,0))</f>
        <v/>
      </c>
      <c r="T163" s="12">
        <f>INDEX('01_Benchmark_Input'!$H$2:$H$10,MATCH(B163,'01_Benchmark_Input'!$A$2:$A$10,0))</f>
        <v/>
      </c>
      <c r="U163" s="12">
        <f>INDEX('01_Benchmark_Input'!$J$2:$J$10,MATCH(B163,'01_Benchmark_Input'!$A$2:$A$10,0))</f>
        <v/>
      </c>
      <c r="V163" s="10">
        <f>'02_Inputs'!K163</f>
        <v/>
      </c>
      <c r="W163" s="12">
        <f>N163*R163+O163*S163+P163*T163+Q163*U163</f>
        <v/>
      </c>
      <c r="X163" s="12">
        <f>W163*V163</f>
        <v/>
      </c>
      <c r="Y163" s="12">
        <f>L163*1000*X163*86400</f>
        <v/>
      </c>
      <c r="Z163" s="12">
        <f>Y163*365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'02_GPU_Mix_Input'!D164</f>
        <v/>
      </c>
      <c r="O164" s="10">
        <f>'02_GPU_Mix_Input'!E164</f>
        <v/>
      </c>
      <c r="P164" s="10">
        <f>'02_GPU_Mix_Input'!F164</f>
        <v/>
      </c>
      <c r="Q164" s="10">
        <f>'02_GPU_Mix_Input'!G164</f>
        <v/>
      </c>
      <c r="R164" s="12">
        <f>INDEX('01_Benchmark_Input'!$D$2:$D$10,MATCH(B164,'01_Benchmark_Input'!$A$2:$A$10,0))</f>
        <v/>
      </c>
      <c r="S164" s="12">
        <f>INDEX('01_Benchmark_Input'!$F$2:$F$10,MATCH(B164,'01_Benchmark_Input'!$A$2:$A$10,0))</f>
        <v/>
      </c>
      <c r="T164" s="12">
        <f>INDEX('01_Benchmark_Input'!$H$2:$H$10,MATCH(B164,'01_Benchmark_Input'!$A$2:$A$10,0))</f>
        <v/>
      </c>
      <c r="U164" s="12">
        <f>INDEX('01_Benchmark_Input'!$J$2:$J$10,MATCH(B164,'01_Benchmark_Input'!$A$2:$A$10,0))</f>
        <v/>
      </c>
      <c r="V164" s="10">
        <f>'02_Inputs'!K164</f>
        <v/>
      </c>
      <c r="W164" s="12">
        <f>N164*R164+O164*S164+P164*T164+Q164*U164</f>
        <v/>
      </c>
      <c r="X164" s="12">
        <f>W164*V164</f>
        <v/>
      </c>
      <c r="Y164" s="12">
        <f>L164*1000*X164*86400</f>
        <v/>
      </c>
      <c r="Z164" s="12">
        <f>Y164*365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'02_GPU_Mix_Input'!D165</f>
        <v/>
      </c>
      <c r="O165" s="10">
        <f>'02_GPU_Mix_Input'!E165</f>
        <v/>
      </c>
      <c r="P165" s="10">
        <f>'02_GPU_Mix_Input'!F165</f>
        <v/>
      </c>
      <c r="Q165" s="10">
        <f>'02_GPU_Mix_Input'!G165</f>
        <v/>
      </c>
      <c r="R165" s="12">
        <f>INDEX('01_Benchmark_Input'!$D$2:$D$10,MATCH(B165,'01_Benchmark_Input'!$A$2:$A$10,0))</f>
        <v/>
      </c>
      <c r="S165" s="12">
        <f>INDEX('01_Benchmark_Input'!$F$2:$F$10,MATCH(B165,'01_Benchmark_Input'!$A$2:$A$10,0))</f>
        <v/>
      </c>
      <c r="T165" s="12">
        <f>INDEX('01_Benchmark_Input'!$H$2:$H$10,MATCH(B165,'01_Benchmark_Input'!$A$2:$A$10,0))</f>
        <v/>
      </c>
      <c r="U165" s="12">
        <f>INDEX('01_Benchmark_Input'!$J$2:$J$10,MATCH(B165,'01_Benchmark_Input'!$A$2:$A$10,0))</f>
        <v/>
      </c>
      <c r="V165" s="10">
        <f>'02_Inputs'!K165</f>
        <v/>
      </c>
      <c r="W165" s="12">
        <f>N165*R165+O165*S165+P165*T165+Q165*U165</f>
        <v/>
      </c>
      <c r="X165" s="12">
        <f>W165*V165</f>
        <v/>
      </c>
      <c r="Y165" s="12">
        <f>L165*1000*X165*86400</f>
        <v/>
      </c>
      <c r="Z165" s="12">
        <f>Y165*365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'02_GPU_Mix_Input'!D166</f>
        <v/>
      </c>
      <c r="O166" s="10">
        <f>'02_GPU_Mix_Input'!E166</f>
        <v/>
      </c>
      <c r="P166" s="10">
        <f>'02_GPU_Mix_Input'!F166</f>
        <v/>
      </c>
      <c r="Q166" s="10">
        <f>'02_GPU_Mix_Input'!G166</f>
        <v/>
      </c>
      <c r="R166" s="12">
        <f>INDEX('01_Benchmark_Input'!$D$2:$D$10,MATCH(B166,'01_Benchmark_Input'!$A$2:$A$10,0))</f>
        <v/>
      </c>
      <c r="S166" s="12">
        <f>INDEX('01_Benchmark_Input'!$F$2:$F$10,MATCH(B166,'01_Benchmark_Input'!$A$2:$A$10,0))</f>
        <v/>
      </c>
      <c r="T166" s="12">
        <f>INDEX('01_Benchmark_Input'!$H$2:$H$10,MATCH(B166,'01_Benchmark_Input'!$A$2:$A$10,0))</f>
        <v/>
      </c>
      <c r="U166" s="12">
        <f>INDEX('01_Benchmark_Input'!$J$2:$J$10,MATCH(B166,'01_Benchmark_Input'!$A$2:$A$10,0))</f>
        <v/>
      </c>
      <c r="V166" s="10">
        <f>'02_Inputs'!K166</f>
        <v/>
      </c>
      <c r="W166" s="12">
        <f>N166*R166+O166*S166+P166*T166+Q166*U166</f>
        <v/>
      </c>
      <c r="X166" s="12">
        <f>W166*V166</f>
        <v/>
      </c>
      <c r="Y166" s="12">
        <f>L166*1000*X166*86400</f>
        <v/>
      </c>
      <c r="Z166" s="12">
        <f>Y166*365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'02_GPU_Mix_Input'!D167</f>
        <v/>
      </c>
      <c r="O167" s="10">
        <f>'02_GPU_Mix_Input'!E167</f>
        <v/>
      </c>
      <c r="P167" s="10">
        <f>'02_GPU_Mix_Input'!F167</f>
        <v/>
      </c>
      <c r="Q167" s="10">
        <f>'02_GPU_Mix_Input'!G167</f>
        <v/>
      </c>
      <c r="R167" s="12">
        <f>INDEX('01_Benchmark_Input'!$D$2:$D$10,MATCH(B167,'01_Benchmark_Input'!$A$2:$A$10,0))</f>
        <v/>
      </c>
      <c r="S167" s="12">
        <f>INDEX('01_Benchmark_Input'!$F$2:$F$10,MATCH(B167,'01_Benchmark_Input'!$A$2:$A$10,0))</f>
        <v/>
      </c>
      <c r="T167" s="12">
        <f>INDEX('01_Benchmark_Input'!$H$2:$H$10,MATCH(B167,'01_Benchmark_Input'!$A$2:$A$10,0))</f>
        <v/>
      </c>
      <c r="U167" s="12">
        <f>INDEX('01_Benchmark_Input'!$J$2:$J$10,MATCH(B167,'01_Benchmark_Input'!$A$2:$A$10,0))</f>
        <v/>
      </c>
      <c r="V167" s="10">
        <f>'02_Inputs'!K167</f>
        <v/>
      </c>
      <c r="W167" s="12">
        <f>N167*R167+O167*S167+P167*T167+Q167*U167</f>
        <v/>
      </c>
      <c r="X167" s="12">
        <f>W167*V167</f>
        <v/>
      </c>
      <c r="Y167" s="12">
        <f>L167*1000*X167*86400</f>
        <v/>
      </c>
      <c r="Z167" s="12">
        <f>Y167*365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'02_GPU_Mix_Input'!D168</f>
        <v/>
      </c>
      <c r="O168" s="10">
        <f>'02_GPU_Mix_Input'!E168</f>
        <v/>
      </c>
      <c r="P168" s="10">
        <f>'02_GPU_Mix_Input'!F168</f>
        <v/>
      </c>
      <c r="Q168" s="10">
        <f>'02_GPU_Mix_Input'!G168</f>
        <v/>
      </c>
      <c r="R168" s="12">
        <f>INDEX('01_Benchmark_Input'!$D$2:$D$10,MATCH(B168,'01_Benchmark_Input'!$A$2:$A$10,0))</f>
        <v/>
      </c>
      <c r="S168" s="12">
        <f>INDEX('01_Benchmark_Input'!$F$2:$F$10,MATCH(B168,'01_Benchmark_Input'!$A$2:$A$10,0))</f>
        <v/>
      </c>
      <c r="T168" s="12">
        <f>INDEX('01_Benchmark_Input'!$H$2:$H$10,MATCH(B168,'01_Benchmark_Input'!$A$2:$A$10,0))</f>
        <v/>
      </c>
      <c r="U168" s="12">
        <f>INDEX('01_Benchmark_Input'!$J$2:$J$10,MATCH(B168,'01_Benchmark_Input'!$A$2:$A$10,0))</f>
        <v/>
      </c>
      <c r="V168" s="10">
        <f>'02_Inputs'!K168</f>
        <v/>
      </c>
      <c r="W168" s="12">
        <f>N168*R168+O168*S168+P168*T168+Q168*U168</f>
        <v/>
      </c>
      <c r="X168" s="12">
        <f>W168*V168</f>
        <v/>
      </c>
      <c r="Y168" s="12">
        <f>L168*1000*X168*86400</f>
        <v/>
      </c>
      <c r="Z168" s="12">
        <f>Y168*365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'02_GPU_Mix_Input'!D169</f>
        <v/>
      </c>
      <c r="O169" s="10">
        <f>'02_GPU_Mix_Input'!E169</f>
        <v/>
      </c>
      <c r="P169" s="10">
        <f>'02_GPU_Mix_Input'!F169</f>
        <v/>
      </c>
      <c r="Q169" s="10">
        <f>'02_GPU_Mix_Input'!G169</f>
        <v/>
      </c>
      <c r="R169" s="12">
        <f>INDEX('01_Benchmark_Input'!$D$2:$D$10,MATCH(B169,'01_Benchmark_Input'!$A$2:$A$10,0))</f>
        <v/>
      </c>
      <c r="S169" s="12">
        <f>INDEX('01_Benchmark_Input'!$F$2:$F$10,MATCH(B169,'01_Benchmark_Input'!$A$2:$A$10,0))</f>
        <v/>
      </c>
      <c r="T169" s="12">
        <f>INDEX('01_Benchmark_Input'!$H$2:$H$10,MATCH(B169,'01_Benchmark_Input'!$A$2:$A$10,0))</f>
        <v/>
      </c>
      <c r="U169" s="12">
        <f>INDEX('01_Benchmark_Input'!$J$2:$J$10,MATCH(B169,'01_Benchmark_Input'!$A$2:$A$10,0))</f>
        <v/>
      </c>
      <c r="V169" s="10">
        <f>'02_Inputs'!K169</f>
        <v/>
      </c>
      <c r="W169" s="12">
        <f>N169*R169+O169*S169+P169*T169+Q169*U169</f>
        <v/>
      </c>
      <c r="X169" s="12">
        <f>W169*V169</f>
        <v/>
      </c>
      <c r="Y169" s="12">
        <f>L169*1000*X169*86400</f>
        <v/>
      </c>
      <c r="Z169" s="12">
        <f>Y169*365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'02_GPU_Mix_Input'!D170</f>
        <v/>
      </c>
      <c r="O170" s="10">
        <f>'02_GPU_Mix_Input'!E170</f>
        <v/>
      </c>
      <c r="P170" s="10">
        <f>'02_GPU_Mix_Input'!F170</f>
        <v/>
      </c>
      <c r="Q170" s="10">
        <f>'02_GPU_Mix_Input'!G170</f>
        <v/>
      </c>
      <c r="R170" s="12">
        <f>INDEX('01_Benchmark_Input'!$D$2:$D$10,MATCH(B170,'01_Benchmark_Input'!$A$2:$A$10,0))</f>
        <v/>
      </c>
      <c r="S170" s="12">
        <f>INDEX('01_Benchmark_Input'!$F$2:$F$10,MATCH(B170,'01_Benchmark_Input'!$A$2:$A$10,0))</f>
        <v/>
      </c>
      <c r="T170" s="12">
        <f>INDEX('01_Benchmark_Input'!$H$2:$H$10,MATCH(B170,'01_Benchmark_Input'!$A$2:$A$10,0))</f>
        <v/>
      </c>
      <c r="U170" s="12">
        <f>INDEX('01_Benchmark_Input'!$J$2:$J$10,MATCH(B170,'01_Benchmark_Input'!$A$2:$A$10,0))</f>
        <v/>
      </c>
      <c r="V170" s="10">
        <f>'02_Inputs'!K170</f>
        <v/>
      </c>
      <c r="W170" s="12">
        <f>N170*R170+O170*S170+P170*T170+Q170*U170</f>
        <v/>
      </c>
      <c r="X170" s="12">
        <f>W170*V170</f>
        <v/>
      </c>
      <c r="Y170" s="12">
        <f>L170*1000*X170*86400</f>
        <v/>
      </c>
      <c r="Z170" s="12">
        <f>Y170*365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'02_GPU_Mix_Input'!D171</f>
        <v/>
      </c>
      <c r="O171" s="10">
        <f>'02_GPU_Mix_Input'!E171</f>
        <v/>
      </c>
      <c r="P171" s="10">
        <f>'02_GPU_Mix_Input'!F171</f>
        <v/>
      </c>
      <c r="Q171" s="10">
        <f>'02_GPU_Mix_Input'!G171</f>
        <v/>
      </c>
      <c r="R171" s="12">
        <f>INDEX('01_Benchmark_Input'!$D$2:$D$10,MATCH(B171,'01_Benchmark_Input'!$A$2:$A$10,0))</f>
        <v/>
      </c>
      <c r="S171" s="12">
        <f>INDEX('01_Benchmark_Input'!$F$2:$F$10,MATCH(B171,'01_Benchmark_Input'!$A$2:$A$10,0))</f>
        <v/>
      </c>
      <c r="T171" s="12">
        <f>INDEX('01_Benchmark_Input'!$H$2:$H$10,MATCH(B171,'01_Benchmark_Input'!$A$2:$A$10,0))</f>
        <v/>
      </c>
      <c r="U171" s="12">
        <f>INDEX('01_Benchmark_Input'!$J$2:$J$10,MATCH(B171,'01_Benchmark_Input'!$A$2:$A$10,0))</f>
        <v/>
      </c>
      <c r="V171" s="10">
        <f>'02_Inputs'!K171</f>
        <v/>
      </c>
      <c r="W171" s="12">
        <f>N171*R171+O171*S171+P171*T171+Q171*U171</f>
        <v/>
      </c>
      <c r="X171" s="12">
        <f>W171*V171</f>
        <v/>
      </c>
      <c r="Y171" s="12">
        <f>L171*1000*X171*86400</f>
        <v/>
      </c>
      <c r="Z171" s="12">
        <f>Y171*365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'02_GPU_Mix_Input'!D172</f>
        <v/>
      </c>
      <c r="O172" s="10">
        <f>'02_GPU_Mix_Input'!E172</f>
        <v/>
      </c>
      <c r="P172" s="10">
        <f>'02_GPU_Mix_Input'!F172</f>
        <v/>
      </c>
      <c r="Q172" s="10">
        <f>'02_GPU_Mix_Input'!G172</f>
        <v/>
      </c>
      <c r="R172" s="12">
        <f>INDEX('01_Benchmark_Input'!$D$2:$D$10,MATCH(B172,'01_Benchmark_Input'!$A$2:$A$10,0))</f>
        <v/>
      </c>
      <c r="S172" s="12">
        <f>INDEX('01_Benchmark_Input'!$F$2:$F$10,MATCH(B172,'01_Benchmark_Input'!$A$2:$A$10,0))</f>
        <v/>
      </c>
      <c r="T172" s="12">
        <f>INDEX('01_Benchmark_Input'!$H$2:$H$10,MATCH(B172,'01_Benchmark_Input'!$A$2:$A$10,0))</f>
        <v/>
      </c>
      <c r="U172" s="12">
        <f>INDEX('01_Benchmark_Input'!$J$2:$J$10,MATCH(B172,'01_Benchmark_Input'!$A$2:$A$10,0))</f>
        <v/>
      </c>
      <c r="V172" s="10">
        <f>'02_Inputs'!K172</f>
        <v/>
      </c>
      <c r="W172" s="12">
        <f>N172*R172+O172*S172+P172*T172+Q172*U172</f>
        <v/>
      </c>
      <c r="X172" s="12">
        <f>W172*V172</f>
        <v/>
      </c>
      <c r="Y172" s="12">
        <f>L172*1000*X172*86400</f>
        <v/>
      </c>
      <c r="Z172" s="12">
        <f>Y172*365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'02_GPU_Mix_Input'!D173</f>
        <v/>
      </c>
      <c r="O173" s="10">
        <f>'02_GPU_Mix_Input'!E173</f>
        <v/>
      </c>
      <c r="P173" s="10">
        <f>'02_GPU_Mix_Input'!F173</f>
        <v/>
      </c>
      <c r="Q173" s="10">
        <f>'02_GPU_Mix_Input'!G173</f>
        <v/>
      </c>
      <c r="R173" s="12">
        <f>INDEX('01_Benchmark_Input'!$D$2:$D$10,MATCH(B173,'01_Benchmark_Input'!$A$2:$A$10,0))</f>
        <v/>
      </c>
      <c r="S173" s="12">
        <f>INDEX('01_Benchmark_Input'!$F$2:$F$10,MATCH(B173,'01_Benchmark_Input'!$A$2:$A$10,0))</f>
        <v/>
      </c>
      <c r="T173" s="12">
        <f>INDEX('01_Benchmark_Input'!$H$2:$H$10,MATCH(B173,'01_Benchmark_Input'!$A$2:$A$10,0))</f>
        <v/>
      </c>
      <c r="U173" s="12">
        <f>INDEX('01_Benchmark_Input'!$J$2:$J$10,MATCH(B173,'01_Benchmark_Input'!$A$2:$A$10,0))</f>
        <v/>
      </c>
      <c r="V173" s="10">
        <f>'02_Inputs'!K173</f>
        <v/>
      </c>
      <c r="W173" s="12">
        <f>N173*R173+O173*S173+P173*T173+Q173*U173</f>
        <v/>
      </c>
      <c r="X173" s="12">
        <f>W173*V173</f>
        <v/>
      </c>
      <c r="Y173" s="12">
        <f>L173*1000*X173*86400</f>
        <v/>
      </c>
      <c r="Z173" s="12">
        <f>Y173*365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'02_GPU_Mix_Input'!D174</f>
        <v/>
      </c>
      <c r="O174" s="10">
        <f>'02_GPU_Mix_Input'!E174</f>
        <v/>
      </c>
      <c r="P174" s="10">
        <f>'02_GPU_Mix_Input'!F174</f>
        <v/>
      </c>
      <c r="Q174" s="10">
        <f>'02_GPU_Mix_Input'!G174</f>
        <v/>
      </c>
      <c r="R174" s="12">
        <f>INDEX('01_Benchmark_Input'!$D$2:$D$10,MATCH(B174,'01_Benchmark_Input'!$A$2:$A$10,0))</f>
        <v/>
      </c>
      <c r="S174" s="12">
        <f>INDEX('01_Benchmark_Input'!$F$2:$F$10,MATCH(B174,'01_Benchmark_Input'!$A$2:$A$10,0))</f>
        <v/>
      </c>
      <c r="T174" s="12">
        <f>INDEX('01_Benchmark_Input'!$H$2:$H$10,MATCH(B174,'01_Benchmark_Input'!$A$2:$A$10,0))</f>
        <v/>
      </c>
      <c r="U174" s="12">
        <f>INDEX('01_Benchmark_Input'!$J$2:$J$10,MATCH(B174,'01_Benchmark_Input'!$A$2:$A$10,0))</f>
        <v/>
      </c>
      <c r="V174" s="10">
        <f>'02_Inputs'!K174</f>
        <v/>
      </c>
      <c r="W174" s="12">
        <f>N174*R174+O174*S174+P174*T174+Q174*U174</f>
        <v/>
      </c>
      <c r="X174" s="12">
        <f>W174*V174</f>
        <v/>
      </c>
      <c r="Y174" s="12">
        <f>L174*1000*X174*86400</f>
        <v/>
      </c>
      <c r="Z174" s="12">
        <f>Y174*365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'02_GPU_Mix_Input'!D175</f>
        <v/>
      </c>
      <c r="O175" s="10">
        <f>'02_GPU_Mix_Input'!E175</f>
        <v/>
      </c>
      <c r="P175" s="10">
        <f>'02_GPU_Mix_Input'!F175</f>
        <v/>
      </c>
      <c r="Q175" s="10">
        <f>'02_GPU_Mix_Input'!G175</f>
        <v/>
      </c>
      <c r="R175" s="12">
        <f>INDEX('01_Benchmark_Input'!$D$2:$D$10,MATCH(B175,'01_Benchmark_Input'!$A$2:$A$10,0))</f>
        <v/>
      </c>
      <c r="S175" s="12">
        <f>INDEX('01_Benchmark_Input'!$F$2:$F$10,MATCH(B175,'01_Benchmark_Input'!$A$2:$A$10,0))</f>
        <v/>
      </c>
      <c r="T175" s="12">
        <f>INDEX('01_Benchmark_Input'!$H$2:$H$10,MATCH(B175,'01_Benchmark_Input'!$A$2:$A$10,0))</f>
        <v/>
      </c>
      <c r="U175" s="12">
        <f>INDEX('01_Benchmark_Input'!$J$2:$J$10,MATCH(B175,'01_Benchmark_Input'!$A$2:$A$10,0))</f>
        <v/>
      </c>
      <c r="V175" s="10">
        <f>'02_Inputs'!K175</f>
        <v/>
      </c>
      <c r="W175" s="12">
        <f>N175*R175+O175*S175+P175*T175+Q175*U175</f>
        <v/>
      </c>
      <c r="X175" s="12">
        <f>W175*V175</f>
        <v/>
      </c>
      <c r="Y175" s="12">
        <f>L175*1000*X175*86400</f>
        <v/>
      </c>
      <c r="Z175" s="12">
        <f>Y175*365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'02_GPU_Mix_Input'!D176</f>
        <v/>
      </c>
      <c r="O176" s="10">
        <f>'02_GPU_Mix_Input'!E176</f>
        <v/>
      </c>
      <c r="P176" s="10">
        <f>'02_GPU_Mix_Input'!F176</f>
        <v/>
      </c>
      <c r="Q176" s="10">
        <f>'02_GPU_Mix_Input'!G176</f>
        <v/>
      </c>
      <c r="R176" s="12">
        <f>INDEX('01_Benchmark_Input'!$D$2:$D$10,MATCH(B176,'01_Benchmark_Input'!$A$2:$A$10,0))</f>
        <v/>
      </c>
      <c r="S176" s="12">
        <f>INDEX('01_Benchmark_Input'!$F$2:$F$10,MATCH(B176,'01_Benchmark_Input'!$A$2:$A$10,0))</f>
        <v/>
      </c>
      <c r="T176" s="12">
        <f>INDEX('01_Benchmark_Input'!$H$2:$H$10,MATCH(B176,'01_Benchmark_Input'!$A$2:$A$10,0))</f>
        <v/>
      </c>
      <c r="U176" s="12">
        <f>INDEX('01_Benchmark_Input'!$J$2:$J$10,MATCH(B176,'01_Benchmark_Input'!$A$2:$A$10,0))</f>
        <v/>
      </c>
      <c r="V176" s="10">
        <f>'02_Inputs'!K176</f>
        <v/>
      </c>
      <c r="W176" s="12">
        <f>N176*R176+O176*S176+P176*T176+Q176*U176</f>
        <v/>
      </c>
      <c r="X176" s="12">
        <f>W176*V176</f>
        <v/>
      </c>
      <c r="Y176" s="12">
        <f>L176*1000*X176*86400</f>
        <v/>
      </c>
      <c r="Z176" s="12">
        <f>Y176*365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'02_GPU_Mix_Input'!D177</f>
        <v/>
      </c>
      <c r="O177" s="10">
        <f>'02_GPU_Mix_Input'!E177</f>
        <v/>
      </c>
      <c r="P177" s="10">
        <f>'02_GPU_Mix_Input'!F177</f>
        <v/>
      </c>
      <c r="Q177" s="10">
        <f>'02_GPU_Mix_Input'!G177</f>
        <v/>
      </c>
      <c r="R177" s="12">
        <f>INDEX('01_Benchmark_Input'!$D$2:$D$10,MATCH(B177,'01_Benchmark_Input'!$A$2:$A$10,0))</f>
        <v/>
      </c>
      <c r="S177" s="12">
        <f>INDEX('01_Benchmark_Input'!$F$2:$F$10,MATCH(B177,'01_Benchmark_Input'!$A$2:$A$10,0))</f>
        <v/>
      </c>
      <c r="T177" s="12">
        <f>INDEX('01_Benchmark_Input'!$H$2:$H$10,MATCH(B177,'01_Benchmark_Input'!$A$2:$A$10,0))</f>
        <v/>
      </c>
      <c r="U177" s="12">
        <f>INDEX('01_Benchmark_Input'!$J$2:$J$10,MATCH(B177,'01_Benchmark_Input'!$A$2:$A$10,0))</f>
        <v/>
      </c>
      <c r="V177" s="10">
        <f>'02_Inputs'!K177</f>
        <v/>
      </c>
      <c r="W177" s="12">
        <f>N177*R177+O177*S177+P177*T177+Q177*U177</f>
        <v/>
      </c>
      <c r="X177" s="12">
        <f>W177*V177</f>
        <v/>
      </c>
      <c r="Y177" s="12">
        <f>L177*1000*X177*86400</f>
        <v/>
      </c>
      <c r="Z177" s="12">
        <f>Y177*365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'02_GPU_Mix_Input'!D178</f>
        <v/>
      </c>
      <c r="O178" s="10">
        <f>'02_GPU_Mix_Input'!E178</f>
        <v/>
      </c>
      <c r="P178" s="10">
        <f>'02_GPU_Mix_Input'!F178</f>
        <v/>
      </c>
      <c r="Q178" s="10">
        <f>'02_GPU_Mix_Input'!G178</f>
        <v/>
      </c>
      <c r="R178" s="12">
        <f>INDEX('01_Benchmark_Input'!$D$2:$D$10,MATCH(B178,'01_Benchmark_Input'!$A$2:$A$10,0))</f>
        <v/>
      </c>
      <c r="S178" s="12">
        <f>INDEX('01_Benchmark_Input'!$F$2:$F$10,MATCH(B178,'01_Benchmark_Input'!$A$2:$A$10,0))</f>
        <v/>
      </c>
      <c r="T178" s="12">
        <f>INDEX('01_Benchmark_Input'!$H$2:$H$10,MATCH(B178,'01_Benchmark_Input'!$A$2:$A$10,0))</f>
        <v/>
      </c>
      <c r="U178" s="12">
        <f>INDEX('01_Benchmark_Input'!$J$2:$J$10,MATCH(B178,'01_Benchmark_Input'!$A$2:$A$10,0))</f>
        <v/>
      </c>
      <c r="V178" s="10">
        <f>'02_Inputs'!K178</f>
        <v/>
      </c>
      <c r="W178" s="12">
        <f>N178*R178+O178*S178+P178*T178+Q178*U178</f>
        <v/>
      </c>
      <c r="X178" s="12">
        <f>W178*V178</f>
        <v/>
      </c>
      <c r="Y178" s="12">
        <f>L178*1000*X178*86400</f>
        <v/>
      </c>
      <c r="Z178" s="12">
        <f>Y178*365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'02_GPU_Mix_Input'!D179</f>
        <v/>
      </c>
      <c r="O179" s="10">
        <f>'02_GPU_Mix_Input'!E179</f>
        <v/>
      </c>
      <c r="P179" s="10">
        <f>'02_GPU_Mix_Input'!F179</f>
        <v/>
      </c>
      <c r="Q179" s="10">
        <f>'02_GPU_Mix_Input'!G179</f>
        <v/>
      </c>
      <c r="R179" s="12">
        <f>INDEX('01_Benchmark_Input'!$D$2:$D$10,MATCH(B179,'01_Benchmark_Input'!$A$2:$A$10,0))</f>
        <v/>
      </c>
      <c r="S179" s="12">
        <f>INDEX('01_Benchmark_Input'!$F$2:$F$10,MATCH(B179,'01_Benchmark_Input'!$A$2:$A$10,0))</f>
        <v/>
      </c>
      <c r="T179" s="12">
        <f>INDEX('01_Benchmark_Input'!$H$2:$H$10,MATCH(B179,'01_Benchmark_Input'!$A$2:$A$10,0))</f>
        <v/>
      </c>
      <c r="U179" s="12">
        <f>INDEX('01_Benchmark_Input'!$J$2:$J$10,MATCH(B179,'01_Benchmark_Input'!$A$2:$A$10,0))</f>
        <v/>
      </c>
      <c r="V179" s="10">
        <f>'02_Inputs'!K179</f>
        <v/>
      </c>
      <c r="W179" s="12">
        <f>N179*R179+O179*S179+P179*T179+Q179*U179</f>
        <v/>
      </c>
      <c r="X179" s="12">
        <f>W179*V179</f>
        <v/>
      </c>
      <c r="Y179" s="12">
        <f>L179*1000*X179*86400</f>
        <v/>
      </c>
      <c r="Z179" s="12">
        <f>Y179*365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'02_GPU_Mix_Input'!D180</f>
        <v/>
      </c>
      <c r="O180" s="10">
        <f>'02_GPU_Mix_Input'!E180</f>
        <v/>
      </c>
      <c r="P180" s="10">
        <f>'02_GPU_Mix_Input'!F180</f>
        <v/>
      </c>
      <c r="Q180" s="10">
        <f>'02_GPU_Mix_Input'!G180</f>
        <v/>
      </c>
      <c r="R180" s="12">
        <f>INDEX('01_Benchmark_Input'!$D$2:$D$10,MATCH(B180,'01_Benchmark_Input'!$A$2:$A$10,0))</f>
        <v/>
      </c>
      <c r="S180" s="12">
        <f>INDEX('01_Benchmark_Input'!$F$2:$F$10,MATCH(B180,'01_Benchmark_Input'!$A$2:$A$10,0))</f>
        <v/>
      </c>
      <c r="T180" s="12">
        <f>INDEX('01_Benchmark_Input'!$H$2:$H$10,MATCH(B180,'01_Benchmark_Input'!$A$2:$A$10,0))</f>
        <v/>
      </c>
      <c r="U180" s="12">
        <f>INDEX('01_Benchmark_Input'!$J$2:$J$10,MATCH(B180,'01_Benchmark_Input'!$A$2:$A$10,0))</f>
        <v/>
      </c>
      <c r="V180" s="10">
        <f>'02_Inputs'!K180</f>
        <v/>
      </c>
      <c r="W180" s="12">
        <f>N180*R180+O180*S180+P180*T180+Q180*U180</f>
        <v/>
      </c>
      <c r="X180" s="12">
        <f>W180*V180</f>
        <v/>
      </c>
      <c r="Y180" s="12">
        <f>L180*1000*X180*86400</f>
        <v/>
      </c>
      <c r="Z180" s="12">
        <f>Y180*365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'02_GPU_Mix_Input'!D181</f>
        <v/>
      </c>
      <c r="O181" s="10">
        <f>'02_GPU_Mix_Input'!E181</f>
        <v/>
      </c>
      <c r="P181" s="10">
        <f>'02_GPU_Mix_Input'!F181</f>
        <v/>
      </c>
      <c r="Q181" s="10">
        <f>'02_GPU_Mix_Input'!G181</f>
        <v/>
      </c>
      <c r="R181" s="12">
        <f>INDEX('01_Benchmark_Input'!$D$2:$D$10,MATCH(B181,'01_Benchmark_Input'!$A$2:$A$10,0))</f>
        <v/>
      </c>
      <c r="S181" s="12">
        <f>INDEX('01_Benchmark_Input'!$F$2:$F$10,MATCH(B181,'01_Benchmark_Input'!$A$2:$A$10,0))</f>
        <v/>
      </c>
      <c r="T181" s="12">
        <f>INDEX('01_Benchmark_Input'!$H$2:$H$10,MATCH(B181,'01_Benchmark_Input'!$A$2:$A$10,0))</f>
        <v/>
      </c>
      <c r="U181" s="12">
        <f>INDEX('01_Benchmark_Input'!$J$2:$J$10,MATCH(B181,'01_Benchmark_Input'!$A$2:$A$10,0))</f>
        <v/>
      </c>
      <c r="V181" s="10">
        <f>'02_Inputs'!K181</f>
        <v/>
      </c>
      <c r="W181" s="12">
        <f>N181*R181+O181*S181+P181*T181+Q181*U181</f>
        <v/>
      </c>
      <c r="X181" s="12">
        <f>W181*V181</f>
        <v/>
      </c>
      <c r="Y181" s="12">
        <f>L181*1000*X181*86400</f>
        <v/>
      </c>
      <c r="Z181" s="12">
        <f>Y181*365</f>
        <v/>
      </c>
    </row>
  </sheetData>
  <autoFilter ref="A1:Z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1">
        <f>SUMIFS('03_Calculation'!$Y$2:$Y$181,'03_Calculation'!$A$2:$A$181,"Base",'03_Calculation'!$B$2:$B$181,$A6,'03_Calculation'!$C$2:$C$181,B$5)/1000000000000000</f>
        <v/>
      </c>
      <c r="C6" s="11">
        <f>SUMIFS('03_Calculation'!$Y$2:$Y$181,'03_Calculation'!$A$2:$A$181,"Base",'03_Calculation'!$B$2:$B$181,$A6,'03_Calculation'!$C$2:$C$181,C$5)/1000000000000000</f>
        <v/>
      </c>
      <c r="D6" s="11">
        <f>SUMIFS('03_Calculation'!$Y$2:$Y$181,'03_Calculation'!$A$2:$A$181,"Base",'03_Calculation'!$B$2:$B$181,$A6,'03_Calculation'!$C$2:$C$181,D$5)/1000000000000000</f>
        <v/>
      </c>
      <c r="E6" s="11">
        <f>SUMIFS('03_Calculation'!$Y$2:$Y$181,'03_Calculation'!$A$2:$A$181,"Base",'03_Calculation'!$B$2:$B$181,$A6,'03_Calculation'!$C$2:$C$181,E$5)/1000000000000000</f>
        <v/>
      </c>
      <c r="F6" s="11">
        <f>SUMIFS('03_Calculation'!$Y$2:$Y$181,'03_Calculation'!$A$2:$A$181,"Base",'03_Calculation'!$B$2:$B$181,$A6,'03_Calculation'!$C$2:$C$181,F$5)/1000000000000000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1">
        <f>SUMIFS('03_Calculation'!$Y$2:$Y$181,'03_Calculation'!$A$2:$A$181,"Base",'03_Calculation'!$B$2:$B$181,$A7,'03_Calculation'!$C$2:$C$181,B$5)/1000000000000000</f>
        <v/>
      </c>
      <c r="C7" s="11">
        <f>SUMIFS('03_Calculation'!$Y$2:$Y$181,'03_Calculation'!$A$2:$A$181,"Base",'03_Calculation'!$B$2:$B$181,$A7,'03_Calculation'!$C$2:$C$181,C$5)/1000000000000000</f>
        <v/>
      </c>
      <c r="D7" s="11">
        <f>SUMIFS('03_Calculation'!$Y$2:$Y$181,'03_Calculation'!$A$2:$A$181,"Base",'03_Calculation'!$B$2:$B$181,$A7,'03_Calculation'!$C$2:$C$181,D$5)/1000000000000000</f>
        <v/>
      </c>
      <c r="E7" s="11">
        <f>SUMIFS('03_Calculation'!$Y$2:$Y$181,'03_Calculation'!$A$2:$A$181,"Base",'03_Calculation'!$B$2:$B$181,$A7,'03_Calculation'!$C$2:$C$181,E$5)/1000000000000000</f>
        <v/>
      </c>
      <c r="F7" s="11">
        <f>SUMIFS('03_Calculation'!$Y$2:$Y$181,'03_Calculation'!$A$2:$A$181,"Base",'03_Calculation'!$B$2:$B$181,$A7,'03_Calculation'!$C$2:$C$181,F$5)/1000000000000000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1">
        <f>SUMIFS('03_Calculation'!$Y$2:$Y$181,'03_Calculation'!$A$2:$A$181,"Base",'03_Calculation'!$B$2:$B$181,$A8,'03_Calculation'!$C$2:$C$181,B$5)/1000000000000000</f>
        <v/>
      </c>
      <c r="C8" s="11">
        <f>SUMIFS('03_Calculation'!$Y$2:$Y$181,'03_Calculation'!$A$2:$A$181,"Base",'03_Calculation'!$B$2:$B$181,$A8,'03_Calculation'!$C$2:$C$181,C$5)/1000000000000000</f>
        <v/>
      </c>
      <c r="D8" s="11">
        <f>SUMIFS('03_Calculation'!$Y$2:$Y$181,'03_Calculation'!$A$2:$A$181,"Base",'03_Calculation'!$B$2:$B$181,$A8,'03_Calculation'!$C$2:$C$181,D$5)/1000000000000000</f>
        <v/>
      </c>
      <c r="E8" s="11">
        <f>SUMIFS('03_Calculation'!$Y$2:$Y$181,'03_Calculation'!$A$2:$A$181,"Base",'03_Calculation'!$B$2:$B$181,$A8,'03_Calculation'!$C$2:$C$181,E$5)/1000000000000000</f>
        <v/>
      </c>
      <c r="F8" s="11">
        <f>SUMIFS('03_Calculation'!$Y$2:$Y$181,'03_Calculation'!$A$2:$A$181,"Base",'03_Calculation'!$B$2:$B$181,$A8,'03_Calculation'!$C$2:$C$181,F$5)/1000000000000000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1">
        <f>SUMIFS('03_Calculation'!$Y$2:$Y$181,'03_Calculation'!$A$2:$A$181,"Base",'03_Calculation'!$B$2:$B$181,$A9,'03_Calculation'!$C$2:$C$181,B$5)/1000000000000000</f>
        <v/>
      </c>
      <c r="C9" s="11">
        <f>SUMIFS('03_Calculation'!$Y$2:$Y$181,'03_Calculation'!$A$2:$A$181,"Base",'03_Calculation'!$B$2:$B$181,$A9,'03_Calculation'!$C$2:$C$181,C$5)/1000000000000000</f>
        <v/>
      </c>
      <c r="D9" s="11">
        <f>SUMIFS('03_Calculation'!$Y$2:$Y$181,'03_Calculation'!$A$2:$A$181,"Base",'03_Calculation'!$B$2:$B$181,$A9,'03_Calculation'!$C$2:$C$181,D$5)/1000000000000000</f>
        <v/>
      </c>
      <c r="E9" s="11">
        <f>SUMIFS('03_Calculation'!$Y$2:$Y$181,'03_Calculation'!$A$2:$A$181,"Base",'03_Calculation'!$B$2:$B$181,$A9,'03_Calculation'!$C$2:$C$181,E$5)/1000000000000000</f>
        <v/>
      </c>
      <c r="F9" s="11">
        <f>SUMIFS('03_Calculation'!$Y$2:$Y$181,'03_Calculation'!$A$2:$A$181,"Base",'03_Calculation'!$B$2:$B$181,$A9,'03_Calculation'!$C$2:$C$181,F$5)/1000000000000000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1">
        <f>SUMIFS('03_Calculation'!$Y$2:$Y$181,'03_Calculation'!$A$2:$A$181,"Base",'03_Calculation'!$B$2:$B$181,$A10,'03_Calculation'!$C$2:$C$181,B$5)/1000000000000000</f>
        <v/>
      </c>
      <c r="C10" s="11">
        <f>SUMIFS('03_Calculation'!$Y$2:$Y$181,'03_Calculation'!$A$2:$A$181,"Base",'03_Calculation'!$B$2:$B$181,$A10,'03_Calculation'!$C$2:$C$181,C$5)/1000000000000000</f>
        <v/>
      </c>
      <c r="D10" s="11">
        <f>SUMIFS('03_Calculation'!$Y$2:$Y$181,'03_Calculation'!$A$2:$A$181,"Base",'03_Calculation'!$B$2:$B$181,$A10,'03_Calculation'!$C$2:$C$181,D$5)/1000000000000000</f>
        <v/>
      </c>
      <c r="E10" s="11">
        <f>SUMIFS('03_Calculation'!$Y$2:$Y$181,'03_Calculation'!$A$2:$A$181,"Base",'03_Calculation'!$B$2:$B$181,$A10,'03_Calculation'!$C$2:$C$181,E$5)/1000000000000000</f>
        <v/>
      </c>
      <c r="F10" s="11">
        <f>SUMIFS('03_Calculation'!$Y$2:$Y$181,'03_Calculation'!$A$2:$A$181,"Base",'03_Calculation'!$B$2:$B$181,$A10,'03_Calculation'!$C$2:$C$181,F$5)/1000000000000000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1">
        <f>SUMIFS('03_Calculation'!$Y$2:$Y$181,'03_Calculation'!$A$2:$A$181,"Base",'03_Calculation'!$B$2:$B$181,$A11,'03_Calculation'!$C$2:$C$181,B$5)/1000000000000000</f>
        <v/>
      </c>
      <c r="C11" s="11">
        <f>SUMIFS('03_Calculation'!$Y$2:$Y$181,'03_Calculation'!$A$2:$A$181,"Base",'03_Calculation'!$B$2:$B$181,$A11,'03_Calculation'!$C$2:$C$181,C$5)/1000000000000000</f>
        <v/>
      </c>
      <c r="D11" s="11">
        <f>SUMIFS('03_Calculation'!$Y$2:$Y$181,'03_Calculation'!$A$2:$A$181,"Base",'03_Calculation'!$B$2:$B$181,$A11,'03_Calculation'!$C$2:$C$181,D$5)/1000000000000000</f>
        <v/>
      </c>
      <c r="E11" s="11">
        <f>SUMIFS('03_Calculation'!$Y$2:$Y$181,'03_Calculation'!$A$2:$A$181,"Base",'03_Calculation'!$B$2:$B$181,$A11,'03_Calculation'!$C$2:$C$181,E$5)/1000000000000000</f>
        <v/>
      </c>
      <c r="F11" s="11">
        <f>SUMIFS('03_Calculation'!$Y$2:$Y$181,'03_Calculation'!$A$2:$A$181,"Base",'03_Calculation'!$B$2:$B$181,$A11,'03_Calculation'!$C$2:$C$181,F$5)/1000000000000000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1">
        <f>SUMIFS('03_Calculation'!$Y$2:$Y$181,'03_Calculation'!$A$2:$A$181,"Base",'03_Calculation'!$B$2:$B$181,$A12,'03_Calculation'!$C$2:$C$181,B$5)/1000000000000000</f>
        <v/>
      </c>
      <c r="C12" s="11">
        <f>SUMIFS('03_Calculation'!$Y$2:$Y$181,'03_Calculation'!$A$2:$A$181,"Base",'03_Calculation'!$B$2:$B$181,$A12,'03_Calculation'!$C$2:$C$181,C$5)/1000000000000000</f>
        <v/>
      </c>
      <c r="D12" s="11">
        <f>SUMIFS('03_Calculation'!$Y$2:$Y$181,'03_Calculation'!$A$2:$A$181,"Base",'03_Calculation'!$B$2:$B$181,$A12,'03_Calculation'!$C$2:$C$181,D$5)/1000000000000000</f>
        <v/>
      </c>
      <c r="E12" s="11">
        <f>SUMIFS('03_Calculation'!$Y$2:$Y$181,'03_Calculation'!$A$2:$A$181,"Base",'03_Calculation'!$B$2:$B$181,$A12,'03_Calculation'!$C$2:$C$181,E$5)/1000000000000000</f>
        <v/>
      </c>
      <c r="F12" s="11">
        <f>SUMIFS('03_Calculation'!$Y$2:$Y$181,'03_Calculation'!$A$2:$A$181,"Base",'03_Calculation'!$B$2:$B$181,$A12,'03_Calculation'!$C$2:$C$181,F$5)/1000000000000000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1">
        <f>SUMIFS('03_Calculation'!$Y$2:$Y$181,'03_Calculation'!$A$2:$A$181,"Base",'03_Calculation'!$B$2:$B$181,$A13,'03_Calculation'!$C$2:$C$181,B$5)/1000000000000000</f>
        <v/>
      </c>
      <c r="C13" s="11">
        <f>SUMIFS('03_Calculation'!$Y$2:$Y$181,'03_Calculation'!$A$2:$A$181,"Base",'03_Calculation'!$B$2:$B$181,$A13,'03_Calculation'!$C$2:$C$181,C$5)/1000000000000000</f>
        <v/>
      </c>
      <c r="D13" s="11">
        <f>SUMIFS('03_Calculation'!$Y$2:$Y$181,'03_Calculation'!$A$2:$A$181,"Base",'03_Calculation'!$B$2:$B$181,$A13,'03_Calculation'!$C$2:$C$181,D$5)/1000000000000000</f>
        <v/>
      </c>
      <c r="E13" s="11">
        <f>SUMIFS('03_Calculation'!$Y$2:$Y$181,'03_Calculation'!$A$2:$A$181,"Base",'03_Calculation'!$B$2:$B$181,$A13,'03_Calculation'!$C$2:$C$181,E$5)/1000000000000000</f>
        <v/>
      </c>
      <c r="F13" s="11">
        <f>SUMIFS('03_Calculation'!$Y$2:$Y$181,'03_Calculation'!$A$2:$A$181,"Base",'03_Calculation'!$B$2:$B$181,$A13,'03_Calculation'!$C$2:$C$181,F$5)/1000000000000000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1">
        <f>SUMIFS('03_Calculation'!$Y$2:$Y$181,'03_Calculation'!$A$2:$A$181,"Base",'03_Calculation'!$B$2:$B$181,$A14,'03_Calculation'!$C$2:$C$181,B$5)/1000000000000000</f>
        <v/>
      </c>
      <c r="C14" s="11">
        <f>SUMIFS('03_Calculation'!$Y$2:$Y$181,'03_Calculation'!$A$2:$A$181,"Base",'03_Calculation'!$B$2:$B$181,$A14,'03_Calculation'!$C$2:$C$181,C$5)/1000000000000000</f>
        <v/>
      </c>
      <c r="D14" s="11">
        <f>SUMIFS('03_Calculation'!$Y$2:$Y$181,'03_Calculation'!$A$2:$A$181,"Base",'03_Calculation'!$B$2:$B$181,$A14,'03_Calculation'!$C$2:$C$181,D$5)/1000000000000000</f>
        <v/>
      </c>
      <c r="E14" s="11">
        <f>SUMIFS('03_Calculation'!$Y$2:$Y$181,'03_Calculation'!$A$2:$A$181,"Base",'03_Calculation'!$B$2:$B$181,$A14,'03_Calculation'!$C$2:$C$181,E$5)/1000000000000000</f>
        <v/>
      </c>
      <c r="F14" s="11">
        <f>SUMIFS('03_Calculation'!$Y$2:$Y$181,'03_Calculation'!$A$2:$A$181,"Base",'03_Calculation'!$B$2:$B$181,$A14,'03_Calculation'!$C$2:$C$181,F$5)/1000000000000000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1">
        <f>SUMIFS('03_Calculation'!$Z$2:$Z$181,'03_Calculation'!$A$2:$A$181,"Base",'03_Calculation'!$B$2:$B$181,$A19,'03_Calculation'!$C$2:$C$181,B$18)/1000000000000000</f>
        <v/>
      </c>
      <c r="C19" s="11">
        <f>SUMIFS('03_Calculation'!$Z$2:$Z$181,'03_Calculation'!$A$2:$A$181,"Base",'03_Calculation'!$B$2:$B$181,$A19,'03_Calculation'!$C$2:$C$181,C$18)/1000000000000000</f>
        <v/>
      </c>
      <c r="D19" s="11">
        <f>SUMIFS('03_Calculation'!$Z$2:$Z$181,'03_Calculation'!$A$2:$A$181,"Base",'03_Calculation'!$B$2:$B$181,$A19,'03_Calculation'!$C$2:$C$181,D$18)/1000000000000000</f>
        <v/>
      </c>
      <c r="E19" s="11">
        <f>SUMIFS('03_Calculation'!$Z$2:$Z$181,'03_Calculation'!$A$2:$A$181,"Base",'03_Calculation'!$B$2:$B$181,$A19,'03_Calculation'!$C$2:$C$181,E$18)/1000000000000000</f>
        <v/>
      </c>
      <c r="F19" s="11">
        <f>SUMIFS('03_Calculation'!$Z$2:$Z$181,'03_Calculation'!$A$2:$A$181,"Base",'03_Calculation'!$B$2:$B$181,$A19,'03_Calculation'!$C$2:$C$181,F$18)/1000000000000000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1">
        <f>SUMIFS('03_Calculation'!$Z$2:$Z$181,'03_Calculation'!$A$2:$A$181,"Base",'03_Calculation'!$B$2:$B$181,$A20,'03_Calculation'!$C$2:$C$181,B$18)/1000000000000000</f>
        <v/>
      </c>
      <c r="C20" s="11">
        <f>SUMIFS('03_Calculation'!$Z$2:$Z$181,'03_Calculation'!$A$2:$A$181,"Base",'03_Calculation'!$B$2:$B$181,$A20,'03_Calculation'!$C$2:$C$181,C$18)/1000000000000000</f>
        <v/>
      </c>
      <c r="D20" s="11">
        <f>SUMIFS('03_Calculation'!$Z$2:$Z$181,'03_Calculation'!$A$2:$A$181,"Base",'03_Calculation'!$B$2:$B$181,$A20,'03_Calculation'!$C$2:$C$181,D$18)/1000000000000000</f>
        <v/>
      </c>
      <c r="E20" s="11">
        <f>SUMIFS('03_Calculation'!$Z$2:$Z$181,'03_Calculation'!$A$2:$A$181,"Base",'03_Calculation'!$B$2:$B$181,$A20,'03_Calculation'!$C$2:$C$181,E$18)/1000000000000000</f>
        <v/>
      </c>
      <c r="F20" s="11">
        <f>SUMIFS('03_Calculation'!$Z$2:$Z$181,'03_Calculation'!$A$2:$A$181,"Base",'03_Calculation'!$B$2:$B$181,$A20,'03_Calculation'!$C$2:$C$181,F$18)/1000000000000000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1">
        <f>SUMIFS('03_Calculation'!$Z$2:$Z$181,'03_Calculation'!$A$2:$A$181,"Base",'03_Calculation'!$B$2:$B$181,$A21,'03_Calculation'!$C$2:$C$181,B$18)/1000000000000000</f>
        <v/>
      </c>
      <c r="C21" s="11">
        <f>SUMIFS('03_Calculation'!$Z$2:$Z$181,'03_Calculation'!$A$2:$A$181,"Base",'03_Calculation'!$B$2:$B$181,$A21,'03_Calculation'!$C$2:$C$181,C$18)/1000000000000000</f>
        <v/>
      </c>
      <c r="D21" s="11">
        <f>SUMIFS('03_Calculation'!$Z$2:$Z$181,'03_Calculation'!$A$2:$A$181,"Base",'03_Calculation'!$B$2:$B$181,$A21,'03_Calculation'!$C$2:$C$181,D$18)/1000000000000000</f>
        <v/>
      </c>
      <c r="E21" s="11">
        <f>SUMIFS('03_Calculation'!$Z$2:$Z$181,'03_Calculation'!$A$2:$A$181,"Base",'03_Calculation'!$B$2:$B$181,$A21,'03_Calculation'!$C$2:$C$181,E$18)/1000000000000000</f>
        <v/>
      </c>
      <c r="F21" s="11">
        <f>SUMIFS('03_Calculation'!$Z$2:$Z$181,'03_Calculation'!$A$2:$A$181,"Base",'03_Calculation'!$B$2:$B$181,$A21,'03_Calculation'!$C$2:$C$181,F$18)/1000000000000000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1">
        <f>SUMIFS('03_Calculation'!$Z$2:$Z$181,'03_Calculation'!$A$2:$A$181,"Base",'03_Calculation'!$B$2:$B$181,$A22,'03_Calculation'!$C$2:$C$181,B$18)/1000000000000000</f>
        <v/>
      </c>
      <c r="C22" s="11">
        <f>SUMIFS('03_Calculation'!$Z$2:$Z$181,'03_Calculation'!$A$2:$A$181,"Base",'03_Calculation'!$B$2:$B$181,$A22,'03_Calculation'!$C$2:$C$181,C$18)/1000000000000000</f>
        <v/>
      </c>
      <c r="D22" s="11">
        <f>SUMIFS('03_Calculation'!$Z$2:$Z$181,'03_Calculation'!$A$2:$A$181,"Base",'03_Calculation'!$B$2:$B$181,$A22,'03_Calculation'!$C$2:$C$181,D$18)/1000000000000000</f>
        <v/>
      </c>
      <c r="E22" s="11">
        <f>SUMIFS('03_Calculation'!$Z$2:$Z$181,'03_Calculation'!$A$2:$A$181,"Base",'03_Calculation'!$B$2:$B$181,$A22,'03_Calculation'!$C$2:$C$181,E$18)/1000000000000000</f>
        <v/>
      </c>
      <c r="F22" s="11">
        <f>SUMIFS('03_Calculation'!$Z$2:$Z$181,'03_Calculation'!$A$2:$A$181,"Base",'03_Calculation'!$B$2:$B$181,$A22,'03_Calculation'!$C$2:$C$181,F$18)/1000000000000000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1">
        <f>SUMIFS('03_Calculation'!$Z$2:$Z$181,'03_Calculation'!$A$2:$A$181,"Base",'03_Calculation'!$B$2:$B$181,$A23,'03_Calculation'!$C$2:$C$181,B$18)/1000000000000000</f>
        <v/>
      </c>
      <c r="C23" s="11">
        <f>SUMIFS('03_Calculation'!$Z$2:$Z$181,'03_Calculation'!$A$2:$A$181,"Base",'03_Calculation'!$B$2:$B$181,$A23,'03_Calculation'!$C$2:$C$181,C$18)/1000000000000000</f>
        <v/>
      </c>
      <c r="D23" s="11">
        <f>SUMIFS('03_Calculation'!$Z$2:$Z$181,'03_Calculation'!$A$2:$A$181,"Base",'03_Calculation'!$B$2:$B$181,$A23,'03_Calculation'!$C$2:$C$181,D$18)/1000000000000000</f>
        <v/>
      </c>
      <c r="E23" s="11">
        <f>SUMIFS('03_Calculation'!$Z$2:$Z$181,'03_Calculation'!$A$2:$A$181,"Base",'03_Calculation'!$B$2:$B$181,$A23,'03_Calculation'!$C$2:$C$181,E$18)/1000000000000000</f>
        <v/>
      </c>
      <c r="F23" s="11">
        <f>SUMIFS('03_Calculation'!$Z$2:$Z$181,'03_Calculation'!$A$2:$A$181,"Base",'03_Calculation'!$B$2:$B$181,$A23,'03_Calculation'!$C$2:$C$181,F$18)/1000000000000000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1">
        <f>SUMIFS('03_Calculation'!$Z$2:$Z$181,'03_Calculation'!$A$2:$A$181,"Base",'03_Calculation'!$B$2:$B$181,$A24,'03_Calculation'!$C$2:$C$181,B$18)/1000000000000000</f>
        <v/>
      </c>
      <c r="C24" s="11">
        <f>SUMIFS('03_Calculation'!$Z$2:$Z$181,'03_Calculation'!$A$2:$A$181,"Base",'03_Calculation'!$B$2:$B$181,$A24,'03_Calculation'!$C$2:$C$181,C$18)/1000000000000000</f>
        <v/>
      </c>
      <c r="D24" s="11">
        <f>SUMIFS('03_Calculation'!$Z$2:$Z$181,'03_Calculation'!$A$2:$A$181,"Base",'03_Calculation'!$B$2:$B$181,$A24,'03_Calculation'!$C$2:$C$181,D$18)/1000000000000000</f>
        <v/>
      </c>
      <c r="E24" s="11">
        <f>SUMIFS('03_Calculation'!$Z$2:$Z$181,'03_Calculation'!$A$2:$A$181,"Base",'03_Calculation'!$B$2:$B$181,$A24,'03_Calculation'!$C$2:$C$181,E$18)/1000000000000000</f>
        <v/>
      </c>
      <c r="F24" s="11">
        <f>SUMIFS('03_Calculation'!$Z$2:$Z$181,'03_Calculation'!$A$2:$A$181,"Base",'03_Calculation'!$B$2:$B$181,$A24,'03_Calculation'!$C$2:$C$181,F$18)/1000000000000000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1">
        <f>SUMIFS('03_Calculation'!$Z$2:$Z$181,'03_Calculation'!$A$2:$A$181,"Base",'03_Calculation'!$B$2:$B$181,$A25,'03_Calculation'!$C$2:$C$181,B$18)/1000000000000000</f>
        <v/>
      </c>
      <c r="C25" s="11">
        <f>SUMIFS('03_Calculation'!$Z$2:$Z$181,'03_Calculation'!$A$2:$A$181,"Base",'03_Calculation'!$B$2:$B$181,$A25,'03_Calculation'!$C$2:$C$181,C$18)/1000000000000000</f>
        <v/>
      </c>
      <c r="D25" s="11">
        <f>SUMIFS('03_Calculation'!$Z$2:$Z$181,'03_Calculation'!$A$2:$A$181,"Base",'03_Calculation'!$B$2:$B$181,$A25,'03_Calculation'!$C$2:$C$181,D$18)/1000000000000000</f>
        <v/>
      </c>
      <c r="E25" s="11">
        <f>SUMIFS('03_Calculation'!$Z$2:$Z$181,'03_Calculation'!$A$2:$A$181,"Base",'03_Calculation'!$B$2:$B$181,$A25,'03_Calculation'!$C$2:$C$181,E$18)/1000000000000000</f>
        <v/>
      </c>
      <c r="F25" s="11">
        <f>SUMIFS('03_Calculation'!$Z$2:$Z$181,'03_Calculation'!$A$2:$A$181,"Base",'03_Calculation'!$B$2:$B$181,$A25,'03_Calculation'!$C$2:$C$181,F$18)/1000000000000000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1">
        <f>SUMIFS('03_Calculation'!$Z$2:$Z$181,'03_Calculation'!$A$2:$A$181,"Base",'03_Calculation'!$B$2:$B$181,$A26,'03_Calculation'!$C$2:$C$181,B$18)/1000000000000000</f>
        <v/>
      </c>
      <c r="C26" s="11">
        <f>SUMIFS('03_Calculation'!$Z$2:$Z$181,'03_Calculation'!$A$2:$A$181,"Base",'03_Calculation'!$B$2:$B$181,$A26,'03_Calculation'!$C$2:$C$181,C$18)/1000000000000000</f>
        <v/>
      </c>
      <c r="D26" s="11">
        <f>SUMIFS('03_Calculation'!$Z$2:$Z$181,'03_Calculation'!$A$2:$A$181,"Base",'03_Calculation'!$B$2:$B$181,$A26,'03_Calculation'!$C$2:$C$181,D$18)/1000000000000000</f>
        <v/>
      </c>
      <c r="E26" s="11">
        <f>SUMIFS('03_Calculation'!$Z$2:$Z$181,'03_Calculation'!$A$2:$A$181,"Base",'03_Calculation'!$B$2:$B$181,$A26,'03_Calculation'!$C$2:$C$181,E$18)/1000000000000000</f>
        <v/>
      </c>
      <c r="F26" s="11">
        <f>SUMIFS('03_Calculation'!$Z$2:$Z$181,'03_Calculation'!$A$2:$A$181,"Base",'03_Calculation'!$B$2:$B$181,$A26,'03_Calculation'!$C$2:$C$181,F$18)/1000000000000000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1">
        <f>SUMIFS('03_Calculation'!$Z$2:$Z$181,'03_Calculation'!$A$2:$A$181,"Base",'03_Calculation'!$B$2:$B$181,$A27,'03_Calculation'!$C$2:$C$181,B$18)/1000000000000000</f>
        <v/>
      </c>
      <c r="C27" s="11">
        <f>SUMIFS('03_Calculation'!$Z$2:$Z$181,'03_Calculation'!$A$2:$A$181,"Base",'03_Calculation'!$B$2:$B$181,$A27,'03_Calculation'!$C$2:$C$181,C$18)/1000000000000000</f>
        <v/>
      </c>
      <c r="D27" s="11">
        <f>SUMIFS('03_Calculation'!$Z$2:$Z$181,'03_Calculation'!$A$2:$A$181,"Base",'03_Calculation'!$B$2:$B$181,$A27,'03_Calculation'!$C$2:$C$181,D$18)/1000000000000000</f>
        <v/>
      </c>
      <c r="E27" s="11">
        <f>SUMIFS('03_Calculation'!$Z$2:$Z$181,'03_Calculation'!$A$2:$A$181,"Base",'03_Calculation'!$B$2:$B$181,$A27,'03_Calculation'!$C$2:$C$181,E$18)/1000000000000000</f>
        <v/>
      </c>
      <c r="F27" s="11">
        <f>SUMIFS('03_Calculation'!$Z$2:$Z$181,'03_Calculation'!$A$2:$A$181,"Base",'03_Calculation'!$B$2:$B$181,$A27,'03_Calculation'!$C$2:$C$181,F$18)/1000000000000000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1">
        <f>SUMIFS('03_Calculation'!$Y$2:$Y$181,'03_Calculation'!$A$2:$A$181,$A32,'03_Calculation'!$C$2:$C$181,B$31)/1000000000000000</f>
        <v/>
      </c>
      <c r="C32" s="11">
        <f>SUMIFS('03_Calculation'!$Y$2:$Y$181,'03_Calculation'!$A$2:$A$181,$A32,'03_Calculation'!$C$2:$C$181,C$31)/1000000000000000</f>
        <v/>
      </c>
      <c r="D32" s="11">
        <f>SUMIFS('03_Calculation'!$Y$2:$Y$181,'03_Calculation'!$A$2:$A$181,$A32,'03_Calculation'!$C$2:$C$181,D$31)/1000000000000000</f>
        <v/>
      </c>
      <c r="E32" s="11">
        <f>SUMIFS('03_Calculation'!$Y$2:$Y$181,'03_Calculation'!$A$2:$A$181,$A32,'03_Calculation'!$C$2:$C$181,E$31)/1000000000000000</f>
        <v/>
      </c>
      <c r="F32" s="11">
        <f>SUMIFS('03_Calculation'!$Y$2:$Y$181,'03_Calculation'!$A$2:$A$181,$A32,'03_Calculation'!$C$2:$C$181,F$31)/1000000000000000</f>
        <v/>
      </c>
    </row>
    <row r="33">
      <c r="A33" s="3" t="inlineStr">
        <is>
          <t>Base</t>
        </is>
      </c>
      <c r="B33" s="11">
        <f>SUMIFS('03_Calculation'!$Y$2:$Y$181,'03_Calculation'!$A$2:$A$181,$A33,'03_Calculation'!$C$2:$C$181,B$31)/1000000000000000</f>
        <v/>
      </c>
      <c r="C33" s="11">
        <f>SUMIFS('03_Calculation'!$Y$2:$Y$181,'03_Calculation'!$A$2:$A$181,$A33,'03_Calculation'!$C$2:$C$181,C$31)/1000000000000000</f>
        <v/>
      </c>
      <c r="D33" s="11">
        <f>SUMIFS('03_Calculation'!$Y$2:$Y$181,'03_Calculation'!$A$2:$A$181,$A33,'03_Calculation'!$C$2:$C$181,D$31)/1000000000000000</f>
        <v/>
      </c>
      <c r="E33" s="11">
        <f>SUMIFS('03_Calculation'!$Y$2:$Y$181,'03_Calculation'!$A$2:$A$181,$A33,'03_Calculation'!$C$2:$C$181,E$31)/1000000000000000</f>
        <v/>
      </c>
      <c r="F33" s="11">
        <f>SUMIFS('03_Calculation'!$Y$2:$Y$181,'03_Calculation'!$A$2:$A$181,$A33,'03_Calculation'!$C$2:$C$181,F$31)/1000000000000000</f>
        <v/>
      </c>
    </row>
    <row r="34">
      <c r="A34" s="3" t="inlineStr">
        <is>
          <t>Bull</t>
        </is>
      </c>
      <c r="B34" s="11">
        <f>SUMIFS('03_Calculation'!$Y$2:$Y$181,'03_Calculation'!$A$2:$A$181,$A34,'03_Calculation'!$C$2:$C$181,B$31)/1000000000000000</f>
        <v/>
      </c>
      <c r="C34" s="11">
        <f>SUMIFS('03_Calculation'!$Y$2:$Y$181,'03_Calculation'!$A$2:$A$181,$A34,'03_Calculation'!$C$2:$C$181,C$31)/1000000000000000</f>
        <v/>
      </c>
      <c r="D34" s="11">
        <f>SUMIFS('03_Calculation'!$Y$2:$Y$181,'03_Calculation'!$A$2:$A$181,$A34,'03_Calculation'!$C$2:$C$181,D$31)/1000000000000000</f>
        <v/>
      </c>
      <c r="E34" s="11">
        <f>SUMIFS('03_Calculation'!$Y$2:$Y$181,'03_Calculation'!$A$2:$A$181,$A34,'03_Calculation'!$C$2:$C$181,E$31)/1000000000000000</f>
        <v/>
      </c>
      <c r="F34" s="11">
        <f>SUMIFS('03_Calculation'!$Y$2:$Y$181,'03_Calculation'!$A$2:$A$181,$A34,'03_Calculation'!$C$2:$C$181,F$31)/1000000000000000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1">
        <f>SUMIFS('03_Calculation'!$Y$2:$Y$181,'03_Calculation'!$A$2:$A$181,$A35,'03_Calculation'!$C$2:$C$181,B$31)/1000000000000000</f>
        <v/>
      </c>
      <c r="C35" s="11">
        <f>SUMIFS('03_Calculation'!$Y$2:$Y$181,'03_Calculation'!$A$2:$A$181,$A35,'03_Calculation'!$C$2:$C$181,C$31)/1000000000000000</f>
        <v/>
      </c>
      <c r="D35" s="11">
        <f>SUMIFS('03_Calculation'!$Y$2:$Y$181,'03_Calculation'!$A$2:$A$181,$A35,'03_Calculation'!$C$2:$C$181,D$31)/1000000000000000</f>
        <v/>
      </c>
      <c r="E35" s="11">
        <f>SUMIFS('03_Calculation'!$Y$2:$Y$181,'03_Calculation'!$A$2:$A$181,$A35,'03_Calculation'!$C$2:$C$181,E$31)/1000000000000000</f>
        <v/>
      </c>
      <c r="F35" s="11">
        <f>SUMIFS('03_Calculation'!$Y$2:$Y$181,'03_Calculation'!$A$2:$A$181,$A35,'03_Calculation'!$C$2:$C$181,F$31)/1000000000000000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1">
        <f>SUMIFS('03_Calculation'!$Z$2:$Z$181,'03_Calculation'!$A$2:$A$181,$A39,'03_Calculation'!$C$2:$C$181,B$38)/1000000000000000</f>
        <v/>
      </c>
      <c r="C39" s="11">
        <f>SUMIFS('03_Calculation'!$Z$2:$Z$181,'03_Calculation'!$A$2:$A$181,$A39,'03_Calculation'!$C$2:$C$181,C$38)/1000000000000000</f>
        <v/>
      </c>
      <c r="D39" s="11">
        <f>SUMIFS('03_Calculation'!$Z$2:$Z$181,'03_Calculation'!$A$2:$A$181,$A39,'03_Calculation'!$C$2:$C$181,D$38)/1000000000000000</f>
        <v/>
      </c>
      <c r="E39" s="11">
        <f>SUMIFS('03_Calculation'!$Z$2:$Z$181,'03_Calculation'!$A$2:$A$181,$A39,'03_Calculation'!$C$2:$C$181,E$38)/1000000000000000</f>
        <v/>
      </c>
      <c r="F39" s="11">
        <f>SUMIFS('03_Calculation'!$Z$2:$Z$181,'03_Calculation'!$A$2:$A$181,$A39,'03_Calculation'!$C$2:$C$181,F$38)/1000000000000000</f>
        <v/>
      </c>
    </row>
    <row r="40">
      <c r="A40" s="3" t="inlineStr">
        <is>
          <t>Base</t>
        </is>
      </c>
      <c r="B40" s="11">
        <f>SUMIFS('03_Calculation'!$Z$2:$Z$181,'03_Calculation'!$A$2:$A$181,$A40,'03_Calculation'!$C$2:$C$181,B$38)/1000000000000000</f>
        <v/>
      </c>
      <c r="C40" s="11">
        <f>SUMIFS('03_Calculation'!$Z$2:$Z$181,'03_Calculation'!$A$2:$A$181,$A40,'03_Calculation'!$C$2:$C$181,C$38)/1000000000000000</f>
        <v/>
      </c>
      <c r="D40" s="11">
        <f>SUMIFS('03_Calculation'!$Z$2:$Z$181,'03_Calculation'!$A$2:$A$181,$A40,'03_Calculation'!$C$2:$C$181,D$38)/1000000000000000</f>
        <v/>
      </c>
      <c r="E40" s="11">
        <f>SUMIFS('03_Calculation'!$Z$2:$Z$181,'03_Calculation'!$A$2:$A$181,$A40,'03_Calculation'!$C$2:$C$181,E$38)/1000000000000000</f>
        <v/>
      </c>
      <c r="F40" s="11">
        <f>SUMIFS('03_Calculation'!$Z$2:$Z$181,'03_Calculation'!$A$2:$A$181,$A40,'03_Calculation'!$C$2:$C$181,F$38)/1000000000000000</f>
        <v/>
      </c>
    </row>
    <row r="41">
      <c r="A41" s="3" t="inlineStr">
        <is>
          <t>Bull</t>
        </is>
      </c>
      <c r="B41" s="11">
        <f>SUMIFS('03_Calculation'!$Z$2:$Z$181,'03_Calculation'!$A$2:$A$181,$A41,'03_Calculation'!$C$2:$C$181,B$38)/1000000000000000</f>
        <v/>
      </c>
      <c r="C41" s="11">
        <f>SUMIFS('03_Calculation'!$Z$2:$Z$181,'03_Calculation'!$A$2:$A$181,$A41,'03_Calculation'!$C$2:$C$181,C$38)/1000000000000000</f>
        <v/>
      </c>
      <c r="D41" s="11">
        <f>SUMIFS('03_Calculation'!$Z$2:$Z$181,'03_Calculation'!$A$2:$A$181,$A41,'03_Calculation'!$C$2:$C$181,D$38)/1000000000000000</f>
        <v/>
      </c>
      <c r="E41" s="11">
        <f>SUMIFS('03_Calculation'!$Z$2:$Z$181,'03_Calculation'!$A$2:$A$181,$A41,'03_Calculation'!$C$2:$C$181,E$38)/1000000000000000</f>
        <v/>
      </c>
      <c r="F41" s="11">
        <f>SUMIFS('03_Calculation'!$Z$2:$Z$181,'03_Calculation'!$A$2:$A$181,$A41,'03_Calculation'!$C$2:$C$181,F$38)/1000000000000000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1">
        <f>SUMIFS('03_Calculation'!$Z$2:$Z$181,'03_Calculation'!$A$2:$A$181,$A42,'03_Calculation'!$C$2:$C$181,B$38)/1000000000000000</f>
        <v/>
      </c>
      <c r="C42" s="11">
        <f>SUMIFS('03_Calculation'!$Z$2:$Z$181,'03_Calculation'!$A$2:$A$181,$A42,'03_Calculation'!$C$2:$C$181,C$38)/1000000000000000</f>
        <v/>
      </c>
      <c r="D42" s="11">
        <f>SUMIFS('03_Calculation'!$Z$2:$Z$181,'03_Calculation'!$A$2:$A$181,$A42,'03_Calculation'!$C$2:$C$181,D$38)/1000000000000000</f>
        <v/>
      </c>
      <c r="E42" s="11">
        <f>SUMIFS('03_Calculation'!$Z$2:$Z$181,'03_Calculation'!$A$2:$A$181,$A42,'03_Calculation'!$C$2:$C$181,E$38)/1000000000000000</f>
        <v/>
      </c>
      <c r="F42" s="11">
        <f>SUMIFS('03_Calculation'!$Z$2:$Z$181,'03_Calculation'!$A$2:$A$181,$A42,'03_Calculation'!$C$2:$C$181,F$38)/1000000000000000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Serving reference equals fleet reference x workload fit</t>
        </is>
      </c>
      <c r="B6" s="3">
        <f>IF(SUMPRODUCT(--(ABS('03_Calculation'!$X$2:$X$181-('03_Calculation'!$W$2:$W$181*'03_Calculation'!$V$2:$V$181))&gt;0.01))=0,"PASS","FAIL")</f>
        <v/>
      </c>
      <c r="C6" s="17">
        <f>B6</f>
        <v/>
      </c>
    </row>
    <row r="7">
      <c r="A7" s="3" t="inlineStr">
        <is>
          <t>Purpose-built reference defaults to B200 without unsupported uplift</t>
        </is>
      </c>
      <c r="B7" s="3">
        <f>IF(SUMPRODUCT(--('01_Benchmark_Input'!$J$2:$J$10&lt;&gt;'01_Benchmark_Input'!$F$2:$F$10))=0,"PASS","FAIL")</f>
        <v/>
      </c>
      <c r="C7" s="17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fleet-weighted serving TPS/MW x seconds/day only"</f>
        <v/>
      </c>
      <c r="C8" s="17">
        <f>B8</f>
        <v/>
      </c>
    </row>
  </sheetData>
  <autoFilter ref="A1:C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'03_Calculation'!Y51/1000000000000000</f>
        <v/>
      </c>
      <c r="C4" s="20">
        <f>'03_Calculation'!Y96/1000000000000000</f>
        <v/>
      </c>
      <c r="D4" s="21">
        <f>C4/B4-1</f>
        <v/>
      </c>
      <c r="E4" s="21">
        <f>'03_Calculation'!V96</f>
        <v/>
      </c>
      <c r="F4" s="19">
        <f>'03_Calculation'!X96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'03_Calculation'!Y56/1000000000000000</f>
        <v/>
      </c>
      <c r="C5" s="20">
        <f>'03_Calculation'!Y101/1000000000000000</f>
        <v/>
      </c>
      <c r="D5" s="21">
        <f>C5/B5-1</f>
        <v/>
      </c>
      <c r="E5" s="21">
        <f>'03_Calculation'!V101</f>
        <v/>
      </c>
      <c r="F5" s="19">
        <f>'03_Calculation'!X101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'03_Calculation'!Y61/1000000000000000</f>
        <v/>
      </c>
      <c r="C6" s="20">
        <f>'03_Calculation'!Y106/1000000000000000</f>
        <v/>
      </c>
      <c r="D6" s="21">
        <f>C6/B6-1</f>
        <v/>
      </c>
      <c r="E6" s="21">
        <f>'03_Calculation'!V106</f>
        <v/>
      </c>
      <c r="F6" s="19">
        <f>'03_Calculation'!X106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'03_Calculation'!Y66/1000000000000000</f>
        <v/>
      </c>
      <c r="C7" s="20">
        <f>'03_Calculation'!Y111/1000000000000000</f>
        <v/>
      </c>
      <c r="D7" s="21">
        <f>C7/B7-1</f>
        <v/>
      </c>
      <c r="E7" s="21">
        <f>'03_Calculation'!V111</f>
        <v/>
      </c>
      <c r="F7" s="19">
        <f>'03_Calculation'!X111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'03_Calculation'!Y71/1000000000000000</f>
        <v/>
      </c>
      <c r="C8" s="20">
        <f>'03_Calculation'!Y116/1000000000000000</f>
        <v/>
      </c>
      <c r="D8" s="21">
        <f>C8/B8-1</f>
        <v/>
      </c>
      <c r="E8" s="21">
        <f>'03_Calculation'!V116</f>
        <v/>
      </c>
      <c r="F8" s="19">
        <f>'03_Calculation'!X116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'03_Calculation'!Y76/1000000000000000</f>
        <v/>
      </c>
      <c r="C9" s="20">
        <f>'03_Calculation'!Y121/1000000000000000</f>
        <v/>
      </c>
      <c r="D9" s="21">
        <f>C9/B9-1</f>
        <v/>
      </c>
      <c r="E9" s="21">
        <f>'03_Calculation'!V121</f>
        <v/>
      </c>
      <c r="F9" s="19">
        <f>'03_Calculation'!X121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'03_Calculation'!Y81/1000000000000000</f>
        <v/>
      </c>
      <c r="C10" s="20">
        <f>'03_Calculation'!Y126/1000000000000000</f>
        <v/>
      </c>
      <c r="D10" s="21">
        <f>C10/B10-1</f>
        <v/>
      </c>
      <c r="E10" s="21">
        <f>'03_Calculation'!V126</f>
        <v/>
      </c>
      <c r="F10" s="19">
        <f>'03_Calculation'!X126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'03_Calculation'!Y86/1000000000000000</f>
        <v/>
      </c>
      <c r="C11" s="20">
        <f>'03_Calculation'!Y131/1000000000000000</f>
        <v/>
      </c>
      <c r="D11" s="21">
        <f>C11/B11-1</f>
        <v/>
      </c>
      <c r="E11" s="21">
        <f>'03_Calculation'!V131</f>
        <v/>
      </c>
      <c r="F11" s="19">
        <f>'03_Calculation'!X131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'03_Calculation'!Y91/1000000000000000</f>
        <v/>
      </c>
      <c r="C12" s="20">
        <f>'03_Calculation'!Y136/1000000000000000</f>
        <v/>
      </c>
      <c r="D12" s="21">
        <f>C12/B12-1</f>
        <v/>
      </c>
      <c r="E12" s="21">
        <f>'03_Calculation'!V136</f>
        <v/>
      </c>
      <c r="F12" s="19">
        <f>'03_Calculation'!X136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SUMIFS('03_Calculation'!$Y:$Y,'03_Calculation'!$A:$A,"Base",'03_Calculation'!$C:$C,$A15)/1000000000000000</f>
        <v/>
      </c>
      <c r="C15" s="20">
        <f>SUMIFS('03_Calculation'!$Y:$Y,'03_Calculation'!$A:$A,"Bull",'03_Calculation'!$C:$C,$A15)/1000000000000000</f>
        <v/>
      </c>
      <c r="D15" s="20">
        <f>SUMPRODUCT(('03_Calculation'!$A$2:$A$181="Bull")*('03_Calculation'!$C$2:$C$181=$A15)*('03_Calculation'!$Y$2:$Y$181/'03_Calculation'!$V$2:$V$181))/1000000000000000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SUMIFS('03_Calculation'!$Y:$Y,'03_Calculation'!$A:$A,"Base",'03_Calculation'!$C:$C,$A16)/1000000000000000</f>
        <v/>
      </c>
      <c r="C16" s="20">
        <f>SUMIFS('03_Calculation'!$Y:$Y,'03_Calculation'!$A:$A,"Bull",'03_Calculation'!$C:$C,$A16)/1000000000000000</f>
        <v/>
      </c>
      <c r="D16" s="20">
        <f>SUMPRODUCT(('03_Calculation'!$A$2:$A$181="Bull")*('03_Calculation'!$C$2:$C$181=$A16)*('03_Calculation'!$Y$2:$Y$181/'03_Calculation'!$V$2:$V$181))/1000000000000000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SUMIFS('03_Calculation'!$Y:$Y,'03_Calculation'!$A:$A,"Base",'03_Calculation'!$C:$C,$A17)/1000000000000000</f>
        <v/>
      </c>
      <c r="C17" s="20">
        <f>SUMIFS('03_Calculation'!$Y:$Y,'03_Calculation'!$A:$A,"Bull",'03_Calculation'!$C:$C,$A17)/1000000000000000</f>
        <v/>
      </c>
      <c r="D17" s="20">
        <f>SUMPRODUCT(('03_Calculation'!$A$2:$A$181="Bull")*('03_Calculation'!$C$2:$C$181=$A17)*('03_Calculation'!$Y$2:$Y$181/'03_Calculation'!$V$2:$V$181))/1000000000000000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SUMIFS('03_Calculation'!$Y:$Y,'03_Calculation'!$A:$A,"Base",'03_Calculation'!$C:$C,$A18)/1000000000000000</f>
        <v/>
      </c>
      <c r="C18" s="20">
        <f>SUMIFS('03_Calculation'!$Y:$Y,'03_Calculation'!$A:$A,"Bull",'03_Calculation'!$C:$C,$A18)/1000000000000000</f>
        <v/>
      </c>
      <c r="D18" s="20">
        <f>SUMPRODUCT(('03_Calculation'!$A$2:$A$181="Bull")*('03_Calculation'!$C$2:$C$181=$A18)*('03_Calculation'!$Y$2:$Y$181/'03_Calculation'!$V$2:$V$181))/1000000000000000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SUMIFS('03_Calculation'!$Y:$Y,'03_Calculation'!$A:$A,"Base",'03_Calculation'!$C:$C,$A19)/1000000000000000</f>
        <v/>
      </c>
      <c r="C19" s="20">
        <f>SUMIFS('03_Calculation'!$Y:$Y,'03_Calculation'!$A:$A,"Bull",'03_Calculation'!$C:$C,$A19)/1000000000000000</f>
        <v/>
      </c>
      <c r="D19" s="20">
        <f>SUMPRODUCT(('03_Calculation'!$A$2:$A$181="Bull")*('03_Calculation'!$C$2:$C$181=$A19)*('03_Calculation'!$Y$2:$Y$181/'03_Calculation'!$V$2:$V$181))/1000000000000000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SRC_QWEN3_GITHUB</t>
        </is>
      </c>
      <c r="B12" s="3" t="inlineStr">
        <is>
          <t>Qwen3 GitHub repository</t>
        </is>
      </c>
      <c r="C12" s="3" t="inlineStr">
        <is>
          <t>Alibaba / Qwen Team</t>
        </is>
      </c>
      <c r="D12" s="3" t="inlineStr">
        <is>
          <t>2025-04-29</t>
        </is>
      </c>
      <c r="E12" s="3" t="inlineStr">
        <is>
          <t>https://github.com/QwenLM/Qwen3</t>
        </is>
      </c>
      <c r="F12" s="3" t="inlineStr">
        <is>
          <t>Tier 1</t>
        </is>
      </c>
      <c r="G12" s="3" t="inlineStr">
        <is>
          <t>Qwen3 dense/MoE family and active parameter anchor</t>
        </is>
      </c>
      <c r="H12" s="3" t="n">
        <v>0.9</v>
      </c>
      <c r="I12" s="3" t="inlineStr">
        <is>
          <t>Qwen3 MoE total/active parameter 구조 anchor.</t>
        </is>
      </c>
    </row>
    <row r="13">
      <c r="A13" s="3" t="inlineStr">
        <is>
          <t>SRC_META_LLAMA4_NVIDIA</t>
        </is>
      </c>
      <c r="B13" s="3" t="inlineStr">
        <is>
          <t>Meta Llama 4 model family optimization notes</t>
        </is>
      </c>
      <c r="C13" s="3" t="inlineStr">
        <is>
          <t>NVIDIA Developer Blog</t>
        </is>
      </c>
      <c r="D13" s="3" t="inlineStr">
        <is>
          <t>2025-04-07</t>
        </is>
      </c>
      <c r="E13" s="3" t="inlineStr">
        <is>
          <t>https://developer.nvidia.com/blog/meta-llama-4-first-nvidia-optimized-mixture-of-experts-models/</t>
        </is>
      </c>
      <c r="F13" s="3" t="inlineStr">
        <is>
          <t>Tier 2</t>
        </is>
      </c>
      <c r="G13" s="3" t="inlineStr">
        <is>
          <t>Llama 4 Scout/Maverick total-active parameter anchor when official Meta page is less accessible</t>
        </is>
      </c>
      <c r="H13" s="3" t="n">
        <v>0.74</v>
      </c>
      <c r="I13" s="3" t="inlineStr">
        <is>
          <t>Meta Llama 4 MoE parameter facts는 model card/official ecosystem cross-check 필요.</t>
        </is>
      </c>
    </row>
    <row r="14">
      <c r="A14" s="3" t="inlineStr">
        <is>
          <t>SRC_TENCENT_HY3</t>
        </is>
      </c>
      <c r="B14" s="3" t="inlineStr">
        <is>
          <t>Tencent launches Hunyuan 3D generation model Hy3</t>
        </is>
      </c>
      <c r="C14" s="3" t="inlineStr">
        <is>
          <t>Tencent</t>
        </is>
      </c>
      <c r="D14" s="3" t="inlineStr">
        <is>
          <t>2025-01-21</t>
        </is>
      </c>
      <c r="E14" s="3" t="inlineStr">
        <is>
          <t>https://www.tencent.com/en-us/articles/2202320.html</t>
        </is>
      </c>
      <c r="F14" s="3" t="inlineStr">
        <is>
          <t>Tier 1</t>
        </is>
      </c>
      <c r="G14" s="3" t="inlineStr">
        <is>
          <t>Tencent Hunyuan commercial surface and model-family anchor</t>
        </is>
      </c>
      <c r="H14" s="3" t="n">
        <v>0.78</v>
      </c>
      <c r="I14" s="3" t="inlineStr">
        <is>
          <t>Hy3는 3D 생성 모델이므로 LLM token forecast에는 Hunyuan surface 확인용으로만 사용.</t>
        </is>
      </c>
    </row>
    <row r="15">
      <c r="A15" s="3" t="inlineStr">
        <is>
          <t>SRC_TENCENT_HUNYUAN</t>
        </is>
      </c>
      <c r="B15" s="3" t="inlineStr">
        <is>
          <t>Tencent unveils Hunyuan foundation model</t>
        </is>
      </c>
      <c r="C15" s="3" t="inlineStr">
        <is>
          <t>Tencent</t>
        </is>
      </c>
      <c r="D15" s="3" t="inlineStr">
        <is>
          <t>2023-09-07</t>
        </is>
      </c>
      <c r="E15" s="3" t="inlineStr">
        <is>
          <t>https://www.tencent.com/en-us/articles/2201460.html</t>
        </is>
      </c>
      <c r="F15" s="3" t="inlineStr">
        <is>
          <t>Tier 1</t>
        </is>
      </c>
      <c r="G15" s="3" t="inlineStr">
        <is>
          <t>Tencent Hunyuan parameter and pretraining token anchor</t>
        </is>
      </c>
      <c r="H15" s="3" t="n">
        <v>0.82</v>
      </c>
      <c r="I15" s="3" t="inlineStr">
        <is>
          <t>Hunyuan 100B+ parameter와 2T+ pretraining token 공개 anchor.</t>
        </is>
      </c>
    </row>
    <row r="16">
      <c r="A16" s="3" t="inlineStr">
        <is>
          <t>SRC_MS_PHI</t>
        </is>
      </c>
      <c r="B16" s="3" t="inlineStr">
        <is>
          <t>Phi model family on Azure AI Foundry / Microsoft documentation</t>
        </is>
      </c>
      <c r="C16" s="3" t="inlineStr">
        <is>
          <t>Microsoft</t>
        </is>
      </c>
      <c r="D16" s="3" t="inlineStr">
        <is>
          <t>2026-05-13 accessed</t>
        </is>
      </c>
      <c r="E16" s="3" t="inlineStr">
        <is>
          <t>https://learn.microsoft.com/en-us/azure/ai-foundry/model-inference/concepts/models</t>
        </is>
      </c>
      <c r="F16" s="3" t="inlineStr">
        <is>
          <t>Tier 1</t>
        </is>
      </c>
      <c r="G16" s="3" t="inlineStr">
        <is>
          <t>Microsoft-owned small language model family anchor</t>
        </is>
      </c>
      <c r="H16" s="3" t="n">
        <v>0.78</v>
      </c>
      <c r="I16" s="3" t="inlineStr">
        <is>
          <t>Microsoft token attribution은 Phi/MAI owned와 OpenAI model dependency를 분리.</t>
        </is>
      </c>
    </row>
    <row r="17">
      <c r="A17" s="3" t="inlineStr">
        <is>
          <t>SRC_MS_PHI4_TECHREPORT</t>
        </is>
      </c>
      <c r="B17" s="3" t="inlineStr">
        <is>
          <t>Phi-4 technical report</t>
        </is>
      </c>
      <c r="C17" s="3" t="inlineStr">
        <is>
          <t>Microsoft</t>
        </is>
      </c>
      <c r="D17" s="3" t="inlineStr">
        <is>
          <t>2024-12-12</t>
        </is>
      </c>
      <c r="E17" s="3" t="inlineStr">
        <is>
          <t>https://arxiv.org/abs/2412.08905</t>
        </is>
      </c>
      <c r="F17" s="3" t="inlineStr">
        <is>
          <t>Tier 1/2</t>
        </is>
      </c>
      <c r="G17" s="3" t="inlineStr">
        <is>
          <t>Microsoft-owned Phi-4 14B parameter anchor</t>
        </is>
      </c>
      <c r="H17" s="3" t="n">
        <v>0.82</v>
      </c>
      <c r="I17" s="3" t="inlineStr">
        <is>
          <t>Phi-4는 Microsoft-owned model size anchor. Copilot frontier routing은 별도 attribution.</t>
        </is>
      </c>
    </row>
    <row r="18">
      <c r="A18" s="3" t="inlineStr">
        <is>
          <t>SRC_MS_MAIA200</t>
        </is>
      </c>
      <c r="B18" s="3" t="inlineStr">
        <is>
          <t>Microsoft introduces Maia 200: New inference accelerator enhances AI performance in Azure</t>
        </is>
      </c>
      <c r="C18" s="3" t="inlineStr">
        <is>
          <t>Microsoft</t>
        </is>
      </c>
      <c r="D18" s="3" t="inlineStr">
        <is>
          <t>2026-01-26</t>
        </is>
      </c>
      <c r="E18" s="3" t="inlineStr">
        <is>
          <t>https://news.microsoft.com/source/emea/2026/01/microsoft-introduces-maia-200-new-inference-accelerator-enhances-ai-performance-in-azure/</t>
        </is>
      </c>
      <c r="F18" s="3" t="inlineStr">
        <is>
          <t>Tier 1</t>
        </is>
      </c>
      <c r="G18" s="3" t="inlineStr">
        <is>
          <t>Confirms Maia 200 is an inference accelerator deployed for Microsoft AI models, Azure AI Foundry and Microsoft 365 Copilot</t>
        </is>
      </c>
      <c r="H18" s="3" t="n">
        <v>0.91</v>
      </c>
      <c r="I18" s="3" t="inlineStr">
        <is>
          <t>Maia 존재와 inference 용도는 fact. Microsoft serving fleet 내 Maia 비중은 scenario.</t>
        </is>
      </c>
    </row>
    <row r="19">
      <c r="A19" s="3" t="inlineStr">
        <is>
          <t>SRC_GOOGLE_TPU_V6E</t>
        </is>
      </c>
      <c r="B19" s="3" t="inlineStr">
        <is>
          <t>Cloud TPU v6e / Trillium documentation</t>
        </is>
      </c>
      <c r="C19" s="3" t="inlineStr">
        <is>
          <t>Google Cloud</t>
        </is>
      </c>
      <c r="D19" s="3" t="inlineStr">
        <is>
          <t>2026-05-14 accessed</t>
        </is>
      </c>
      <c r="E19" s="3" t="inlineStr">
        <is>
          <t>https://cloud.google.com/tpu/docs/v6e</t>
        </is>
      </c>
      <c r="F19" s="3" t="inlineStr">
        <is>
          <t>Tier 1</t>
        </is>
      </c>
      <c r="G19" s="3" t="inlineStr">
        <is>
          <t>Google TPU serving/training platform generation anchor</t>
        </is>
      </c>
      <c r="H19" s="3" t="n">
        <v>0.84</v>
      </c>
      <c r="I19" s="3" t="inlineStr">
        <is>
          <t>Ironwood와 함께 Google TPU-heavy serving platform의 factual hardware lineage.</t>
        </is>
      </c>
    </row>
    <row r="20">
      <c r="A20" s="3" t="inlineStr">
        <is>
          <t>SRC_ANTHROPIC_AMAZON_COMPUTE</t>
        </is>
      </c>
      <c r="B20" s="3" t="inlineStr">
        <is>
          <t>Anthropic and AWS expand partnership with Project Rainier</t>
        </is>
      </c>
      <c r="C20" s="3" t="inlineStr">
        <is>
          <t>Anthropic / Amazon</t>
        </is>
      </c>
      <c r="D20" s="3" t="inlineStr">
        <is>
          <t>2025-2026</t>
        </is>
      </c>
      <c r="E20" s="3" t="inlineStr">
        <is>
          <t>https://www.anthropic.com/news/anthropic-amazon-compute</t>
        </is>
      </c>
      <c r="F20" s="3" t="inlineStr">
        <is>
          <t>Tier 1</t>
        </is>
      </c>
      <c r="G20" s="3" t="inlineStr">
        <is>
          <t>Anthropic contracted/hosted capacity anchor; capacity attributed to Anthropic model owner</t>
        </is>
      </c>
      <c r="H20" s="3" t="n">
        <v>0.84</v>
      </c>
      <c r="I20" s="3" t="inlineStr">
        <is>
          <t>AWS Trainium/Rainier capacity는 Anthropic 모델 serving/training capacity anchor로 사용하되 active GW는 시나리오.</t>
        </is>
      </c>
    </row>
    <row r="21">
      <c r="A21" s="3" t="inlineStr">
        <is>
          <t>SRC_ANTHROPIC_CLAUDE_DOCS</t>
        </is>
      </c>
      <c r="B21" s="3" t="inlineStr">
        <is>
          <t>Claude model documentation</t>
        </is>
      </c>
      <c r="C21" s="3" t="inlineStr">
        <is>
          <t>Anthropic</t>
        </is>
      </c>
      <c r="D21" s="3" t="inlineStr">
        <is>
          <t>2026-05-14 accessed</t>
        </is>
      </c>
      <c r="E21" s="3" t="inlineStr">
        <is>
          <t>https://docs.anthropic.com/en/docs/about-claude/models/overview</t>
        </is>
      </c>
      <c r="F21" s="3" t="inlineStr">
        <is>
          <t>Tier 1</t>
        </is>
      </c>
      <c r="G21" s="3" t="inlineStr">
        <is>
          <t>Claude commercial model family and closed-model disclosure boundary</t>
        </is>
      </c>
      <c r="H21" s="3" t="n">
        <v>0.86</v>
      </c>
      <c r="I21" s="3" t="inlineStr">
        <is>
          <t>Claude 모델 family 확인. 파라미터는 비공개이므로 band/benchmark proxy만 사용.</t>
        </is>
      </c>
    </row>
    <row r="22">
      <c r="A22" s="3" t="inlineStr">
        <is>
          <t>SRC_AWS_RAINIER_ACTIVE</t>
        </is>
      </c>
      <c r="B22" s="3" t="inlineStr">
        <is>
          <t>AWS activates Project Rainier: AI compute cluster for Anthropic</t>
        </is>
      </c>
      <c r="C22" s="3" t="inlineStr">
        <is>
          <t>Amazon Web Services / Amazon</t>
        </is>
      </c>
      <c r="D22" s="3" t="inlineStr">
        <is>
          <t>2025-10-29</t>
        </is>
      </c>
      <c r="E22" s="3" t="inlineStr">
        <is>
          <t>https://www.aboutamazon.com/news/aws/aws-project-rainier-ai-trainium-chips-compute-cluster</t>
        </is>
      </c>
      <c r="F22" s="3" t="inlineStr">
        <is>
          <t>Tier 1</t>
        </is>
      </c>
      <c r="G22" s="3" t="inlineStr">
        <is>
          <t>Confirms Anthropic-dedicated Trainium2 capacity direction and purpose-built accelerator presence</t>
        </is>
      </c>
      <c r="H22" s="3" t="n">
        <v>0.9</v>
      </c>
      <c r="I22" s="3" t="inlineStr">
        <is>
          <t>Trainium hardware direction은 fact. Claude inference/training allocation과 year-by-year mix는 scenario.</t>
        </is>
      </c>
    </row>
    <row r="23">
      <c r="A23" s="3" t="inlineStr">
        <is>
          <t>SRC_META_MTIA_GENAI_2026</t>
        </is>
      </c>
      <c r="B23" s="3" t="inlineStr">
        <is>
          <t>Expanding Meta's Custom Silicon to Power Our AI Workloads</t>
        </is>
      </c>
      <c r="C23" s="3" t="inlineStr">
        <is>
          <t>Meta</t>
        </is>
      </c>
      <c r="D23" s="3" t="inlineStr">
        <is>
          <t>2026-03-11</t>
        </is>
      </c>
      <c r="E23" s="3" t="inlineStr">
        <is>
          <t>https://about.fb.com/news/2026/03/expanding-metas-custom-silicon-to-power-our-ai-workloads/</t>
        </is>
      </c>
      <c r="F23" s="3" t="inlineStr">
        <is>
          <t>Tier 1</t>
        </is>
      </c>
      <c r="G23" s="3" t="inlineStr">
        <is>
          <t>Confirms hundreds of thousands of MTIA deployed for inference and MTIA 400/450/500 focus on GenAI inference production</t>
        </is>
      </c>
      <c r="H23" s="3" t="n">
        <v>0.92</v>
      </c>
      <c r="I23" s="3" t="inlineStr">
        <is>
          <t>MTIA 존재와 inference-first 방향은 fact. Meta AI LLM serving의 MTIA share는 scenario.</t>
        </is>
      </c>
    </row>
    <row r="24">
      <c r="A24" s="3" t="inlineStr">
        <is>
          <t>SRC_DEEPSEEK_H800_INFERENCE</t>
        </is>
      </c>
      <c r="B24" s="3" t="inlineStr">
        <is>
          <t>DeepSeek-V3/R1 inference system overview</t>
        </is>
      </c>
      <c r="C24" s="3" t="inlineStr">
        <is>
          <t>DeepSeek</t>
        </is>
      </c>
      <c r="D24" s="3" t="inlineStr">
        <is>
          <t>2025-02-28</t>
        </is>
      </c>
      <c r="E24" s="3" t="inlineStr">
        <is>
          <t>https://github.com/deepseek-ai/open-infra-index/blob/main/202502OpenSourceWeek/day_6_one_more_thing_deepseekV3R1_inference_system_overview.md</t>
        </is>
      </c>
      <c r="F24" s="3" t="inlineStr">
        <is>
          <t>Tier 1</t>
        </is>
      </c>
      <c r="G24" s="3" t="inlineStr">
        <is>
          <t>Confirms disclosed DeepSeek-operated V3/R1 inference services used H800 GPUs and reports peak/average node occupancy</t>
        </is>
      </c>
      <c r="H24" s="3" t="n">
        <v>0.91</v>
      </c>
      <c r="I24" s="3" t="inlineStr">
        <is>
          <t>공개 시점의 H800 serving은 fact. 2026-2030 증설 규모는 scenario.</t>
        </is>
      </c>
    </row>
    <row r="25">
      <c r="A25" s="3" t="inlineStr">
        <is>
          <t>SRC_ALIBABA_QWEN_GPU_DEPLOY</t>
        </is>
      </c>
      <c r="B25" s="3" t="inlineStr">
        <is>
          <t>Deploy a Qwen3-32B inference service with ACS GPU computing power</t>
        </is>
      </c>
      <c r="C25" s="3" t="inlineStr">
        <is>
          <t>Alibaba Cloud</t>
        </is>
      </c>
      <c r="D25" s="3" t="inlineStr">
        <is>
          <t>2025-09-18</t>
        </is>
      </c>
      <c r="E25" s="3" t="inlineStr">
        <is>
          <t>https://www.alibabacloud.com/help/doc-detail/2921971.html</t>
        </is>
      </c>
      <c r="F25" s="3" t="inlineStr">
        <is>
          <t>Tier 1</t>
        </is>
      </c>
      <c r="G25" s="3" t="inlineStr">
        <is>
          <t>Confirms an official Alibaba Cloud GPU deployment path for Qwen inference; not an operated fleet-share disclosure</t>
        </is>
      </c>
      <c r="H25" s="3" t="n">
        <v>0.78</v>
      </c>
      <c r="I25" s="3" t="inlineStr">
        <is>
          <t>Qwen GPU serving 가능성은 fact. 실제 Alibaba-operated GPU/ASIC 비중은 공개되지 않아 Base는 GPU reference 처리.</t>
        </is>
      </c>
    </row>
    <row r="26">
      <c r="A26" s="3" t="inlineStr">
        <is>
          <t>SRC_TENCENT_AI_INFRA_MOE</t>
        </is>
      </c>
      <c r="B26" s="3" t="inlineStr">
        <is>
          <t>Tencent Unveils New AI Upgrades, Proprietary Innovations, and Global Solutions</t>
        </is>
      </c>
      <c r="C26" s="3" t="inlineStr">
        <is>
          <t>Tencent</t>
        </is>
      </c>
      <c r="D26" s="3" t="inlineStr">
        <is>
          <t>2024-09-05</t>
        </is>
      </c>
      <c r="E26" s="3" t="inlineStr">
        <is>
          <t>https://www.tencent.com/en-us/articles/2201930.html</t>
        </is>
      </c>
      <c r="F26" s="3" t="inlineStr">
        <is>
          <t>Tier 1</t>
        </is>
      </c>
      <c r="G26" s="3" t="inlineStr">
        <is>
          <t>Confirms Tencent AI Infra and Hunyuan Turbo MoE service with stated inference-cost reduction</t>
        </is>
      </c>
      <c r="H26" s="3" t="n">
        <v>0.84</v>
      </c>
      <c r="I26" s="3" t="inlineStr">
        <is>
          <t>MoE/infra 방향은 fact. 운영 GPU/ASIC mix와 tokens/MW는 정량 미공개로 scenario.</t>
        </is>
      </c>
    </row>
    <row r="27">
      <c r="A27" s="3" t="inlineStr">
        <is>
          <t>SRC_SEMIANALYSIS_INFERENCEX</t>
        </is>
      </c>
      <c r="B27" s="3" t="inlineStr">
        <is>
          <t>InferenceX / InferenceMAX benchmark methodology</t>
        </is>
      </c>
      <c r="C27" s="3" t="inlineStr">
        <is>
          <t>SemiAnalysis</t>
        </is>
      </c>
      <c r="D27" s="3" t="inlineStr">
        <is>
          <t>2025-2026</t>
        </is>
      </c>
      <c r="E27" s="3" t="inlineStr">
        <is>
          <t>https://inferencex.semianalysis.com/about</t>
        </is>
      </c>
      <c r="F27" s="3" t="inlineStr">
        <is>
          <t>Tier 2</t>
        </is>
      </c>
      <c r="G27" s="3" t="inlineStr">
        <is>
          <t>Benchmark layer for tokens/sec/MW sensitivity, not company capacity</t>
        </is>
      </c>
      <c r="H27" s="3" t="n">
        <v>0.7</v>
      </c>
      <c r="I27" s="3" t="inlineStr">
        <is>
          <t>tokens/sec/MW benchmark calibration. 업체별 capacity fact로 직접 사용하지 않음.</t>
        </is>
      </c>
    </row>
    <row r="28">
      <c r="A28" s="3" t="inlineStr">
        <is>
          <t>SRC_MLPERF_INFERENCE</t>
        </is>
      </c>
      <c r="B28" s="3" t="inlineStr">
        <is>
          <t>MLPerf Inference datacenter benchmark results</t>
        </is>
      </c>
      <c r="C28" s="3" t="inlineStr">
        <is>
          <t>MLCommons</t>
        </is>
      </c>
      <c r="D28" s="3" t="inlineStr">
        <is>
          <t>2026-06-09 accessed</t>
        </is>
      </c>
      <c r="E28" s="3" t="inlineStr">
        <is>
          <t>https://mlcommons.org/benchmarks/inference-datacenter/</t>
        </is>
      </c>
      <c r="F28" s="3" t="inlineStr">
        <is>
          <t>Tier 2</t>
        </is>
      </c>
      <c r="G28" s="3" t="inlineStr">
        <is>
          <t>Official inference submission anchor for hardware/software comparisons</t>
        </is>
      </c>
      <c r="H28" s="3" t="n">
        <v>0.74</v>
      </c>
      <c r="I28" s="3" t="inlineStr">
        <is>
          <t>규칙화된 official benchmark anchor. LLM serving 조건은 InferenceX와 별도 비교 필요.</t>
        </is>
      </c>
    </row>
    <row r="29">
      <c r="A29" s="3" t="inlineStr">
        <is>
          <t>SRC_MLPERF_POWER</t>
        </is>
      </c>
      <c r="B29" s="3" t="inlineStr">
        <is>
          <t>MLPerf Power methodology and results</t>
        </is>
      </c>
      <c r="C29" s="3" t="inlineStr">
        <is>
          <t>MLCommons</t>
        </is>
      </c>
      <c r="D29" s="3" t="inlineStr">
        <is>
          <t>2026-06-09 accessed</t>
        </is>
      </c>
      <c r="E29" s="3" t="inlineStr">
        <is>
          <t>https://mlcommons.org/benchmarks/power/</t>
        </is>
      </c>
      <c r="F29" s="3" t="inlineStr">
        <is>
          <t>Tier 2</t>
        </is>
      </c>
      <c r="G29" s="3" t="inlineStr">
        <is>
          <t>Optional measured power/performance benchmark anchor</t>
        </is>
      </c>
      <c r="H29" s="3" t="n">
        <v>0.72</v>
      </c>
      <c r="I29" s="3" t="inlineStr">
        <is>
          <t>power 측정이 포함된 benchmark anchor. company production telemetry는 아님.</t>
        </is>
      </c>
    </row>
    <row r="30">
      <c r="A30" s="3" t="inlineStr">
        <is>
          <t>SRC_MLPERF_INFERENCE_DOCS</t>
        </is>
      </c>
      <c r="B30" s="3" t="inlineStr">
        <is>
          <t>MLPerf Inference documentation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https://docs.mlcommons.org/inference/</t>
        </is>
      </c>
      <c r="F30" s="3" t="inlineStr">
        <is>
          <t>Tier 2</t>
        </is>
      </c>
      <c r="G30" s="3" t="inlineStr">
        <is>
          <t>Benchmark rules, scenarios, loadgen and divisions</t>
        </is>
      </c>
      <c r="H30" s="3" t="n">
        <v>0.72</v>
      </c>
      <c r="I30" s="3" t="inlineStr">
        <is>
          <t>Server/Offline/SUT 규칙과 latency scenario를 해석하는 기준 문서.</t>
        </is>
      </c>
    </row>
    <row r="31">
      <c r="A31" s="3" t="inlineStr">
        <is>
          <t>SRC_VLLM_DOCS</t>
        </is>
      </c>
      <c r="B31" s="3" t="inlineStr">
        <is>
          <t>vLLM documentation</t>
        </is>
      </c>
      <c r="C31" s="3" t="inlineStr">
        <is>
          <t>vLLM project</t>
        </is>
      </c>
      <c r="D31" s="3" t="inlineStr">
        <is>
          <t>2026-06-09 accessed</t>
        </is>
      </c>
      <c r="E31" s="3" t="inlineStr">
        <is>
          <t>https://docs.vllm.ai/</t>
        </is>
      </c>
      <c r="F31" s="3" t="inlineStr">
        <is>
          <t>Tier 2</t>
        </is>
      </c>
      <c r="G31" s="3" t="inlineStr">
        <is>
          <t>Production serving mechanism, scheduler and KV cache behavior</t>
        </is>
      </c>
      <c r="H31" s="3" t="n">
        <v>0.66</v>
      </c>
      <c r="I31" s="3" t="inlineStr">
        <is>
          <t>serving stack mechanism source. 특정 업체 tokens/MW fact는 아님.</t>
        </is>
      </c>
    </row>
    <row r="32">
      <c r="A32" s="3" t="inlineStr">
        <is>
          <t>SRC_TENSORRT_LLM</t>
        </is>
      </c>
      <c r="B32" s="3" t="inlineStr">
        <is>
          <t>NVIDIA TensorRT-LLM documentation</t>
        </is>
      </c>
      <c r="C32" s="3" t="inlineStr">
        <is>
          <t>NVIDIA</t>
        </is>
      </c>
      <c r="D32" s="3" t="inlineStr">
        <is>
          <t>2026-06-09 accessed</t>
        </is>
      </c>
      <c r="E32" s="3" t="inlineStr">
        <is>
          <t>https://nvidia.github.io/TensorRT-LLM/</t>
        </is>
      </c>
      <c r="F32" s="3" t="inlineStr">
        <is>
          <t>Tier 2</t>
        </is>
      </c>
      <c r="G32" s="3" t="inlineStr">
        <is>
          <t>Vendor-optimized inference stack and deployment mechanism</t>
        </is>
      </c>
      <c r="H32" s="3" t="n">
        <v>0.68</v>
      </c>
      <c r="I32" s="3" t="inlineStr">
        <is>
          <t>NVIDIA stack 최적화 근거. workload matched benchmark 없이는 uplift로 직접 적용하지 않음.</t>
        </is>
      </c>
    </row>
    <row r="33">
      <c r="A33" s="3" t="inlineStr">
        <is>
          <t>SRC_SGLANG_DOCS</t>
        </is>
      </c>
      <c r="B33" s="3" t="inlineStr">
        <is>
          <t>SGLang documentation</t>
        </is>
      </c>
      <c r="C33" s="3" t="inlineStr">
        <is>
          <t>SGLang project</t>
        </is>
      </c>
      <c r="D33" s="3" t="inlineStr">
        <is>
          <t>2026-06-09 accessed</t>
        </is>
      </c>
      <c r="E33" s="3" t="inlineStr">
        <is>
          <t>https://docs.sglang.ai/</t>
        </is>
      </c>
      <c r="F33" s="3" t="inlineStr">
        <is>
          <t>Tier 2</t>
        </is>
      </c>
      <c r="G33" s="3" t="inlineStr">
        <is>
          <t>Serving runtime, structured generation and batching behavior</t>
        </is>
      </c>
      <c r="H33" s="3" t="n">
        <v>0.64</v>
      </c>
      <c r="I33" s="3" t="inlineStr">
        <is>
          <t>batching/structured generation mechanism source. production telemetry는 아님.</t>
        </is>
      </c>
    </row>
    <row r="34">
      <c r="A34" s="3" t="inlineStr">
        <is>
          <t>SRC_FLASHINFER</t>
        </is>
      </c>
      <c r="B34" s="3" t="inlineStr">
        <is>
          <t>FlashInfer documentation</t>
        </is>
      </c>
      <c r="C34" s="3" t="inlineStr">
        <is>
          <t>FlashInfer project</t>
        </is>
      </c>
      <c r="D34" s="3" t="inlineStr">
        <is>
          <t>2026-06-09 accessed</t>
        </is>
      </c>
      <c r="E34" s="3" t="inlineStr">
        <is>
          <t>https://docs.flashinfer.ai/</t>
        </is>
      </c>
      <c r="F34" s="3" t="inlineStr">
        <is>
          <t>Tier 2</t>
        </is>
      </c>
      <c r="G34" s="3" t="inlineStr">
        <is>
          <t>Attention/decode kernel mechanism for serving efficiency</t>
        </is>
      </c>
      <c r="H34" s="3" t="n">
        <v>0.62</v>
      </c>
      <c r="I34" s="3" t="inlineStr">
        <is>
          <t>kernel-level efficiency mechanism source. company-level throughput fact로 승격하지 않음.</t>
        </is>
      </c>
    </row>
    <row r="35">
      <c r="A35" s="3" t="inlineStr">
        <is>
          <t>SRC_SARATHI_SERVE</t>
        </is>
      </c>
      <c r="B35" s="3" t="inlineStr">
        <is>
          <t>Sarathi-Serve</t>
        </is>
      </c>
      <c r="C35" s="3" t="inlineStr">
        <is>
          <t>arXiv</t>
        </is>
      </c>
      <c r="D35" s="3" t="inlineStr">
        <is>
          <t>2024</t>
        </is>
      </c>
      <c r="E35" s="3" t="inlineStr">
        <is>
          <t>https://arxiv.org/abs/2403.02310</t>
        </is>
      </c>
      <c r="F35" s="3" t="inlineStr">
        <is>
          <t>Tier 2</t>
        </is>
      </c>
      <c r="G35" s="3" t="inlineStr">
        <is>
          <t>Chunked prefill and decode scheduling mechanism</t>
        </is>
      </c>
      <c r="H35" s="3" t="n">
        <v>0.64</v>
      </c>
      <c r="I35" s="3" t="inlineStr">
        <is>
          <t>prefill/decode scheduling sensitivity source.</t>
        </is>
      </c>
    </row>
    <row r="36">
      <c r="A36" s="3" t="inlineStr">
        <is>
          <t>SRC_ORCA_SERVING</t>
        </is>
      </c>
      <c r="B36" s="3" t="inlineStr">
        <is>
          <t>Orca: A Distributed Serving System for Transformer-Based Generative Models</t>
        </is>
      </c>
      <c r="C36" s="3" t="inlineStr">
        <is>
          <t>OSDI</t>
        </is>
      </c>
      <c r="D36" s="3" t="inlineStr">
        <is>
          <t>2022</t>
        </is>
      </c>
      <c r="E36" s="3" t="inlineStr">
        <is>
          <t>https://www.usenix.org/conference/osdi22/presentation/yu</t>
        </is>
      </c>
      <c r="F36" s="3" t="inlineStr">
        <is>
          <t>Tier 2</t>
        </is>
      </c>
      <c r="G36" s="3" t="inlineStr">
        <is>
          <t>Iteration-level scheduling and batching foundation</t>
        </is>
      </c>
      <c r="H36" s="3" t="n">
        <v>0.66</v>
      </c>
      <c r="I36" s="3" t="inlineStr">
        <is>
          <t>LLM serving scheduling foundation. modern hardware TPS/MW fact는 아님.</t>
        </is>
      </c>
    </row>
    <row r="37">
      <c r="A37" s="3" t="inlineStr">
        <is>
          <t>SRC_ARXIV_INFERENCE_ENERGY</t>
        </is>
      </c>
      <c r="B37" s="3" t="inlineStr">
        <is>
          <t>LLM inference energy and serving efficiency literature set</t>
        </is>
      </c>
      <c r="C37" s="3" t="inlineStr">
        <is>
          <t>arXiv</t>
        </is>
      </c>
      <c r="D37" s="3" t="inlineStr">
        <is>
          <t>2024-2026</t>
        </is>
      </c>
      <c r="E37" s="3" t="inlineStr">
        <is>
          <t>https://arxiv.org/search/?query=large+language+model+inference+energy+joules+per+token&amp;searchtype=all</t>
        </is>
      </c>
      <c r="F37" s="3" t="inlineStr">
        <is>
          <t>Tier 2</t>
        </is>
      </c>
      <c r="G37" s="3" t="inlineStr">
        <is>
          <t>Joules/token sanity check, prefill/decode split, batching, quantization sensitivity</t>
        </is>
      </c>
      <c r="H37" s="3" t="n">
        <v>0.65</v>
      </c>
      <c r="I37" s="3" t="inlineStr">
        <is>
          <t>논문별 수치는 workload 차이가 커서 sensitivity layer로만 사용.</t>
        </is>
      </c>
    </row>
    <row r="38">
      <c r="A38" s="3" t="inlineStr">
        <is>
          <t>SRC_JOULE_INFERENCE_ENERGY_2026</t>
        </is>
      </c>
      <c r="B38" s="3" t="inlineStr">
        <is>
          <t>Energy use of AI inference, efficiency pathways, and test-time scaling</t>
        </is>
      </c>
      <c r="C38" s="3" t="inlineStr">
        <is>
          <t>Joule / Cell Press</t>
        </is>
      </c>
      <c r="D38" s="3" t="inlineStr">
        <is>
          <t>2026</t>
        </is>
      </c>
      <c r="E38" s="3" t="inlineStr">
        <is>
          <t>https://www.sciencedirect.com/science/article/pii/S2542435126001145</t>
        </is>
      </c>
      <c r="F38" s="3" t="inlineStr">
        <is>
          <t>Tier 2</t>
        </is>
      </c>
      <c r="G38" s="3" t="inlineStr">
        <is>
          <t>Energy/query and joules/token sanity layer for inference forecasts</t>
        </is>
      </c>
      <c r="H38" s="3" t="n">
        <v>0.7</v>
      </c>
      <c r="I38" s="3" t="inlineStr">
        <is>
          <t>회사별 production telemetry가 아니라 energy sanity check와 test-time compute sensitivity로만 사용.</t>
        </is>
      </c>
    </row>
    <row r="39">
      <c r="A39" s="3" t="inlineStr">
        <is>
          <t>SRC_IBM_PD_DISAGG_2026</t>
        </is>
      </c>
      <c r="B39" s="3" t="inlineStr">
        <is>
          <t>Revisiting Disaggregated Large Language Model Serving for Performance and Energy Implications</t>
        </is>
      </c>
      <c r="C39" s="3" t="inlineStr">
        <is>
          <t>IBM Research / EuroSys</t>
        </is>
      </c>
      <c r="D39" s="3" t="inlineStr">
        <is>
          <t>2026</t>
        </is>
      </c>
      <c r="E39" s="3" t="inlineStr">
        <is>
          <t>https://research.ibm.com/publications/revisiting-disaggregated-large-language-model-serving-for-performance-and-energy-implications</t>
        </is>
      </c>
      <c r="F39" s="3" t="inlineStr">
        <is>
          <t>Tier 2</t>
        </is>
      </c>
      <c r="G39" s="3" t="inlineStr">
        <is>
          <t>Prefill/decode disaggregation performance and energy trade-off mechanism</t>
        </is>
      </c>
      <c r="H39" s="3" t="n">
        <v>0.72</v>
      </c>
      <c r="I39" s="3" t="inlineStr">
        <is>
          <t>P/D disaggregation은 항상 positive가 아니므로 workload/SLO별 sensitivity로 처리.</t>
        </is>
      </c>
    </row>
    <row r="40">
      <c r="A40" s="3" t="inlineStr">
        <is>
          <t>SRC_ARXIV_SLO_PD_2026</t>
        </is>
      </c>
      <c r="B40" s="3" t="inlineStr">
        <is>
          <t>SLO-Aware Compute Resource Allocation for Prefill-Decode Disaggregated LLM Inference</t>
        </is>
      </c>
      <c r="C40" s="3" t="inlineStr">
        <is>
          <t>arXiv</t>
        </is>
      </c>
      <c r="D40" s="3" t="inlineStr">
        <is>
          <t>2026</t>
        </is>
      </c>
      <c r="E40" s="3" t="inlineStr">
        <is>
          <t>https://arxiv.org/abs/2603.04716</t>
        </is>
      </c>
      <c r="F40" s="3" t="inlineStr">
        <is>
          <t>Tier 2</t>
        </is>
      </c>
      <c r="G40" s="3" t="inlineStr">
        <is>
          <t>Utilization caveat for TTFT/TPOT SLO constrained serving</t>
        </is>
      </c>
      <c r="H40" s="3" t="n">
        <v>0.62</v>
      </c>
      <c r="I40" s="3" t="inlineStr">
        <is>
          <t>utilization은 GPU occupancy가 아니라 latency SLO와 reserve에 의해 제한됨을 반영.</t>
        </is>
      </c>
    </row>
    <row r="41">
      <c r="A41" s="3" t="inlineStr">
        <is>
          <t>SRC_ARXIV_PREFILL_AS_SERVICE_2026</t>
        </is>
      </c>
      <c r="B41" s="3" t="inlineStr">
        <is>
          <t>Prefill-as-a-Service</t>
        </is>
      </c>
      <c r="C41" s="3" t="inlineStr">
        <is>
          <t>arXiv</t>
        </is>
      </c>
      <c r="D41" s="3" t="inlineStr">
        <is>
          <t>2026</t>
        </is>
      </c>
      <c r="E41" s="3" t="inlineStr">
        <is>
          <t>https://arxiv.org/abs/2604.15039</t>
        </is>
      </c>
      <c r="F41" s="3" t="inlineStr">
        <is>
          <t>Tier 2</t>
        </is>
      </c>
      <c r="G41" s="3" t="inlineStr">
        <is>
          <t>Agentic/long-context placement and network sensitivity for utilization</t>
        </is>
      </c>
      <c r="H41" s="3" t="n">
        <v>0.6</v>
      </c>
      <c r="I41" s="3" t="inlineStr">
        <is>
          <t>cross-datacenter prefill/KV movement은 Base fact가 아니라 future sensitivity로만 사용.</t>
        </is>
      </c>
    </row>
    <row r="42">
      <c r="A42" s="3" t="inlineStr">
        <is>
          <t>SRC_ARXIV_SPEC_DECODING_LATENCY_2026</t>
        </is>
      </c>
      <c r="B42" s="3" t="inlineStr">
        <is>
          <t>An Interpretable Latency Model for Speculative Decoding in LLM Serving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https://arxiv.org/abs/2605.15051</t>
        </is>
      </c>
      <c r="F42" s="3" t="inlineStr">
        <is>
          <t>Tier 2</t>
        </is>
      </c>
      <c r="G42" s="3" t="inlineStr">
        <is>
          <t>Speculative decoding latency and throughput trade-off mechanism</t>
        </is>
      </c>
      <c r="H42" s="3" t="n">
        <v>0.6</v>
      </c>
      <c r="I42" s="3" t="inlineStr">
        <is>
          <t>speculative decoding은 tokens/MW 개선 가능성이 있으나 model/workload별 검증 필요.</t>
        </is>
      </c>
    </row>
    <row r="43">
      <c r="A43" s="3" t="inlineStr">
        <is>
          <t>SRC_MCKINSEY_AI_WORKLOADS</t>
        </is>
      </c>
      <c r="B43" s="3" t="inlineStr">
        <is>
          <t>The future of AI workloads</t>
        </is>
      </c>
      <c r="C43" s="3" t="inlineStr">
        <is>
          <t>McKinsey &amp; Company</t>
        </is>
      </c>
      <c r="D43" s="3" t="inlineStr">
        <is>
          <t>2026-02-24</t>
        </is>
      </c>
      <c r="E43" s="3" t="inlineStr">
        <is>
          <t>https://www.mckinsey.com/featured-insights/week-in-charts/the-future-of-ai-workloads</t>
        </is>
      </c>
      <c r="F43" s="3" t="inlineStr">
        <is>
          <t>Tier 2</t>
        </is>
      </c>
      <c r="G43" s="3" t="inlineStr">
        <is>
          <t>Inference share fact-check and 2030 workload mix directional anchor</t>
        </is>
      </c>
      <c r="H43" s="3" t="n">
        <v>0.72</v>
      </c>
      <c r="I43" s="3" t="inlineStr">
        <is>
          <t>2030년 inference가 AI compute의 절반 이상이 될 수 있다는 전망. 2026 현재 GW fact로 직접 사용하지 않음.</t>
        </is>
      </c>
    </row>
    <row r="44">
      <c r="A44" s="3" t="inlineStr">
        <is>
          <t>SRC_DELOITTE_AI_POWER</t>
        </is>
      </c>
      <c r="B44" s="3" t="inlineStr">
        <is>
          <t>More compute for AI, not less</t>
        </is>
      </c>
      <c r="C44" s="3" t="inlineStr">
        <is>
          <t>Deloitte</t>
        </is>
      </c>
      <c r="D44" s="3" t="inlineStr">
        <is>
          <t>2025-12</t>
        </is>
      </c>
      <c r="E44" s="3" t="inlineStr">
        <is>
          <t>https://www.deloitte.com/us/en/insights/industry/technology/technology-media-and-telecom-predictions/2026/compute-power-ai.html</t>
        </is>
      </c>
      <c r="F44" s="3" t="inlineStr">
        <is>
          <t>Tier 2</t>
        </is>
      </c>
      <c r="G44" s="3" t="inlineStr">
        <is>
          <t>Inference compute share outlook, used only as scenario cross-check</t>
        </is>
      </c>
      <c r="H44" s="3" t="n">
        <v>0.68</v>
      </c>
      <c r="I44" s="3" t="inlineStr">
        <is>
          <t>2026 compute 기준 inference 비중 전망을 제공하지만 업체별 GW fact는 아님.</t>
        </is>
      </c>
    </row>
    <row r="45">
      <c r="A45" s="3" t="inlineStr">
        <is>
          <t>SRC_EPRI_EPOCH_AI_POWER</t>
        </is>
      </c>
      <c r="B45" s="3" t="inlineStr">
        <is>
          <t>How much power will frontier AI training demand in 2030?</t>
        </is>
      </c>
      <c r="C45" s="3" t="inlineStr">
        <is>
          <t>EPRI / Epoch AI</t>
        </is>
      </c>
      <c r="D45" s="3" t="inlineStr">
        <is>
          <t>2025-08</t>
        </is>
      </c>
      <c r="E45" s="3" t="inlineStr">
        <is>
          <t>https://epoch.ai/blog/power-demands-of-frontier-ai-training</t>
        </is>
      </c>
      <c r="F45" s="3" t="inlineStr">
        <is>
          <t>Tier 2</t>
        </is>
      </c>
      <c r="G45" s="3" t="inlineStr">
        <is>
          <t>Current AI power allocation sanity check across training, experiments, and inference</t>
        </is>
      </c>
      <c r="H45" s="3" t="n">
        <v>0.7</v>
      </c>
      <c r="I45" s="3" t="inlineStr">
        <is>
          <t>현재 power allocation은 training/experiments/inference가 대략 나뉜다는 관점. 60%+ inference fact 주장에 대한 반대 anchor.</t>
        </is>
      </c>
    </row>
    <row r="46">
      <c r="A46" s="3" t="inlineStr">
        <is>
          <t>SRC_EPOCH_TRAIN</t>
        </is>
      </c>
      <c r="B46" s="3" t="inlineStr">
        <is>
          <t>Training compute of frontier AI models grows by 4-5x per year</t>
        </is>
      </c>
      <c r="C46" s="3" t="inlineStr">
        <is>
          <t>Epoch AI</t>
        </is>
      </c>
      <c r="D46" s="3" t="inlineStr">
        <is>
          <t>2024</t>
        </is>
      </c>
      <c r="E46" s="3" t="inlineStr">
        <is>
          <t>https://epoch.ai/blog/training-compute-of-frontier-ai-models-grows-by-4-5x-per-year</t>
        </is>
      </c>
      <c r="F46" s="3" t="inlineStr">
        <is>
          <t>Tier 2</t>
        </is>
      </c>
      <c r="G46" s="3" t="inlineStr">
        <is>
          <t>Frontier training compute growth anchor</t>
        </is>
      </c>
      <c r="H46" s="3" t="n">
        <v>0.7</v>
      </c>
      <c r="I46" s="3" t="inlineStr">
        <is>
          <t>training reserve를 남겨야 하는 장기 compute-growth 근거.</t>
        </is>
      </c>
    </row>
    <row r="47">
      <c r="A47" s="3" t="inlineStr">
        <is>
          <t>SRC_EPOCH_SCALING_2030</t>
        </is>
      </c>
      <c r="B47" s="3" t="inlineStr">
        <is>
          <t>Can AI scaling continue through 2030?</t>
        </is>
      </c>
      <c r="C47" s="3" t="inlineStr">
        <is>
          <t>Epoch AI</t>
        </is>
      </c>
      <c r="D47" s="3" t="inlineStr">
        <is>
          <t>2024/2026 accessed</t>
        </is>
      </c>
      <c r="E47" s="3" t="inlineStr">
        <is>
          <t>https://epoch.ai/publications/can-ai-scaling-continue-through-2030</t>
        </is>
      </c>
      <c r="F47" s="3" t="inlineStr">
        <is>
          <t>Tier 2</t>
        </is>
      </c>
      <c r="G47" s="3" t="inlineStr">
        <is>
          <t>Scaling bottlenecks across power, data, capex and hardware supply</t>
        </is>
      </c>
      <c r="H47" s="3" t="n">
        <v>0.7</v>
      </c>
      <c r="I47" s="3" t="inlineStr">
        <is>
          <t>2030 scaling feasibility와 병목 source. 업체별 active power fact는 아님.</t>
        </is>
      </c>
    </row>
    <row r="48">
      <c r="A48" s="3" t="inlineStr">
        <is>
          <t>SRC_EPOCH_INFERENCE_PRICE</t>
        </is>
      </c>
      <c r="B48" s="3" t="inlineStr">
        <is>
          <t>LLM inference price trends</t>
        </is>
      </c>
      <c r="C48" s="3" t="inlineStr">
        <is>
          <t>Epoch AI</t>
        </is>
      </c>
      <c r="D48" s="3" t="inlineStr">
        <is>
          <t>2026-06-09 accessed</t>
        </is>
      </c>
      <c r="E48" s="3" t="inlineStr">
        <is>
          <t>https://epoch.ai/data-insights/llm-inference-price-trends</t>
        </is>
      </c>
      <c r="F48" s="3" t="inlineStr">
        <is>
          <t>Tier 2</t>
        </is>
      </c>
      <c r="G48" s="3" t="inlineStr">
        <is>
          <t>Inference cost trend proxy and commercial efficiency context</t>
        </is>
      </c>
      <c r="H48" s="3" t="n">
        <v>0.66</v>
      </c>
      <c r="I48" s="3" t="inlineStr">
        <is>
          <t>API price/performance trend proxy. tokens/MW 생산 telemetry로 직접 사용하지 않음.</t>
        </is>
      </c>
    </row>
    <row r="49">
      <c r="A49" s="3" t="inlineStr">
        <is>
          <t>SRC_EIA_DC_POWER</t>
        </is>
      </c>
      <c r="B49" s="3" t="inlineStr">
        <is>
          <t>U.S. electricity data and data center power context</t>
        </is>
      </c>
      <c r="C49" s="3" t="inlineStr">
        <is>
          <t>U.S. EIA</t>
        </is>
      </c>
      <c r="D49" s="3" t="inlineStr">
        <is>
          <t>2026-06-09 accessed</t>
        </is>
      </c>
      <c r="E49" s="3" t="inlineStr">
        <is>
          <t>https://www.eia.gov/</t>
        </is>
      </c>
      <c r="F49" s="3" t="inlineStr">
        <is>
          <t>Tier 2</t>
        </is>
      </c>
      <c r="G49" s="3" t="inlineStr">
        <is>
          <t>Electricity demand and regional power baseline</t>
        </is>
      </c>
      <c r="H49" s="3" t="n">
        <v>0.68</v>
      </c>
      <c r="I49" s="3" t="inlineStr">
        <is>
          <t>macro grid plausibility source. company contracted GW를 직접 바꾸지 않음.</t>
        </is>
      </c>
    </row>
    <row r="50">
      <c r="A50" s="3" t="inlineStr">
        <is>
          <t>SRC_FERC_INTERCONNECT</t>
        </is>
      </c>
      <c r="B50" s="3" t="inlineStr">
        <is>
          <t>FERC interconnection and grid reliability proceedings</t>
        </is>
      </c>
      <c r="C50" s="3" t="inlineStr">
        <is>
          <t>FERC</t>
        </is>
      </c>
      <c r="D50" s="3" t="inlineStr">
        <is>
          <t>2026-06-09 accessed</t>
        </is>
      </c>
      <c r="E50" s="3" t="inlineStr">
        <is>
          <t>https://www.ferc.gov/</t>
        </is>
      </c>
      <c r="F50" s="3" t="inlineStr">
        <is>
          <t>Tier 2</t>
        </is>
      </c>
      <c r="G50" s="3" t="inlineStr">
        <is>
          <t>Interconnection, transmission and reliability context</t>
        </is>
      </c>
      <c r="H50" s="3" t="n">
        <v>0.66</v>
      </c>
      <c r="I50" s="3" t="inlineStr">
        <is>
          <t>grid constraint context. model-owner capacity attribution fact는 아님.</t>
        </is>
      </c>
    </row>
    <row r="51">
      <c r="A51" s="3" t="inlineStr">
        <is>
          <t>SRC_UPTIME_GLOBAL_DC</t>
        </is>
      </c>
      <c r="B51" s="3" t="inlineStr">
        <is>
          <t>Uptime Institute Global Data Center Survey</t>
        </is>
      </c>
      <c r="C51" s="3" t="inlineStr">
        <is>
          <t>Uptime Institute</t>
        </is>
      </c>
      <c r="D51" s="3" t="inlineStr">
        <is>
          <t>2026-06-09 accessed</t>
        </is>
      </c>
      <c r="E51" s="3" t="inlineStr">
        <is>
          <t>https://uptimeinstitute.com/resources/research-and-reports</t>
        </is>
      </c>
      <c r="F51" s="3" t="inlineStr">
        <is>
          <t>Tier 2</t>
        </is>
      </c>
      <c r="G51" s="3" t="inlineStr">
        <is>
          <t>PUE, cooling, outage and density operating context</t>
        </is>
      </c>
      <c r="H51" s="3" t="n">
        <v>0.68</v>
      </c>
      <c r="I51" s="3" t="inlineStr">
        <is>
          <t>facility/PUE context. company site-level PUE가 있으면 교체.</t>
        </is>
      </c>
    </row>
    <row r="52">
      <c r="A52" s="3" t="inlineStr">
        <is>
          <t>SRC_ASHRAE_TC99</t>
        </is>
      </c>
      <c r="B52" s="3" t="inlineStr">
        <is>
          <t>ASHRAE TC 9.9 data center thermal guidance</t>
        </is>
      </c>
      <c r="C52" s="3" t="inlineStr">
        <is>
          <t>ASHRAE</t>
        </is>
      </c>
      <c r="D52" s="3" t="inlineStr">
        <is>
          <t>2026-06-09 accessed</t>
        </is>
      </c>
      <c r="E52" s="3" t="inlineStr">
        <is>
          <t>https://www.ashrae.org/technical-resources/bookstore/datacom-series</t>
        </is>
      </c>
      <c r="F52" s="3" t="inlineStr">
        <is>
          <t>Tier 2</t>
        </is>
      </c>
      <c r="G52" s="3" t="inlineStr">
        <is>
          <t>Thermal envelope and cooling design reference</t>
        </is>
      </c>
      <c r="H52" s="3" t="n">
        <v>0.64</v>
      </c>
      <c r="I52" s="3" t="inlineStr">
        <is>
          <t>cooling design reference. PUE 숫자 자체의 direct fact는 아님.</t>
        </is>
      </c>
    </row>
    <row r="53">
      <c r="A53" s="3" t="inlineStr">
        <is>
          <t>SRC_MISTRAL_MODELS</t>
        </is>
      </c>
      <c r="B53" s="3" t="inlineStr">
        <is>
          <t>Mistral AI model documentation</t>
        </is>
      </c>
      <c r="C53" s="3" t="inlineStr">
        <is>
          <t>Mistral AI</t>
        </is>
      </c>
      <c r="D53" s="3" t="inlineStr">
        <is>
          <t>2026-06-09 accessed</t>
        </is>
      </c>
      <c r="E53" s="3" t="inlineStr">
        <is>
          <t>https://docs.mistral.ai/</t>
        </is>
      </c>
      <c r="F53" s="3" t="inlineStr">
        <is>
          <t>Tier 1/2</t>
        </is>
      </c>
      <c r="G53" s="3" t="inlineStr">
        <is>
          <t>Dense/MoE open model family and context anchor</t>
        </is>
      </c>
      <c r="H53" s="3" t="n">
        <v>0.72</v>
      </c>
      <c r="I53" s="3" t="inlineStr">
        <is>
          <t>open/served model family 비교 anchor. 본 모델의 core company row에는 직접 포함하지 않음.</t>
        </is>
      </c>
    </row>
    <row r="54">
      <c r="A54" s="3" t="inlineStr">
        <is>
          <t>SRC_DBRX_MODEL</t>
        </is>
      </c>
      <c r="B54" s="3" t="inlineStr">
        <is>
          <t>Introducing DBRX</t>
        </is>
      </c>
      <c r="C54" s="3" t="inlineStr">
        <is>
          <t>Databricks</t>
        </is>
      </c>
      <c r="D54" s="3" t="inlineStr">
        <is>
          <t>2024</t>
        </is>
      </c>
      <c r="E54" s="3" t="inlineStr">
        <is>
          <t>https://www.databricks.com/blog/introducing-dbrx-new-state-art-open-llm</t>
        </is>
      </c>
      <c r="F54" s="3" t="inlineStr">
        <is>
          <t>Tier 1/2</t>
        </is>
      </c>
      <c r="G54" s="3" t="inlineStr">
        <is>
          <t>Open MoE parameter anchor</t>
        </is>
      </c>
      <c r="H54" s="3" t="n">
        <v>0.7</v>
      </c>
      <c r="I54" s="3" t="inlineStr">
        <is>
          <t>MoE total/active parameter 읽기용 비교 source.</t>
        </is>
      </c>
    </row>
    <row r="55">
      <c r="A55" s="3" t="inlineStr">
        <is>
          <t>SRC_OPENAI_API_PRICING</t>
        </is>
      </c>
      <c r="B55" s="3" t="inlineStr">
        <is>
          <t>OpenAI API pricing</t>
        </is>
      </c>
      <c r="C55" s="3" t="inlineStr">
        <is>
          <t>OpenAI</t>
        </is>
      </c>
      <c r="D55" s="3" t="inlineStr">
        <is>
          <t>2026-06-09 accessed</t>
        </is>
      </c>
      <c r="E55" s="3" t="inlineStr">
        <is>
          <t>https://openai.com/api/pricing/</t>
        </is>
      </c>
      <c r="F55" s="3" t="inlineStr">
        <is>
          <t>Tier 1</t>
        </is>
      </c>
      <c r="G55" s="3" t="inlineStr">
        <is>
          <t>Commercial token surface and price proxy</t>
        </is>
      </c>
      <c r="H55" s="3" t="n">
        <v>0.78</v>
      </c>
      <c r="I55" s="3" t="inlineStr">
        <is>
          <t>price surface proxy. output volume 또는 tokens/MW production fact는 아님.</t>
        </is>
      </c>
    </row>
    <row r="56">
      <c r="A56" s="3" t="inlineStr">
        <is>
          <t>SRC_ANTHROPIC_PRICING</t>
        </is>
      </c>
      <c r="B56" s="3" t="inlineStr">
        <is>
          <t>Anthropic API pricing</t>
        </is>
      </c>
      <c r="C56" s="3" t="inlineStr">
        <is>
          <t>Anthropic</t>
        </is>
      </c>
      <c r="D56" s="3" t="inlineStr">
        <is>
          <t>2026-06-09 accessed</t>
        </is>
      </c>
      <c r="E56" s="3" t="inlineStr">
        <is>
          <t>https://www.anthropic.com/pricing</t>
        </is>
      </c>
      <c r="F56" s="3" t="inlineStr">
        <is>
          <t>Tier 1</t>
        </is>
      </c>
      <c r="G56" s="3" t="inlineStr">
        <is>
          <t>Commercial token surface and price proxy</t>
        </is>
      </c>
      <c r="H56" s="3" t="n">
        <v>0.78</v>
      </c>
      <c r="I56" s="3" t="inlineStr">
        <is>
          <t>price surface proxy. Claude production output volume은 공개하지 않음.</t>
        </is>
      </c>
    </row>
    <row r="57">
      <c r="A57" s="3" t="inlineStr">
        <is>
          <t>SRC_AZURE_OPENAI</t>
        </is>
      </c>
      <c r="B57" s="3" t="inlineStr">
        <is>
          <t>Azure OpenAI Service documentation</t>
        </is>
      </c>
      <c r="C57" s="3" t="inlineStr">
        <is>
          <t>Microsoft</t>
        </is>
      </c>
      <c r="D57" s="3" t="inlineStr">
        <is>
          <t>2026-06-09 accessed</t>
        </is>
      </c>
      <c r="E57" s="3" t="inlineStr">
        <is>
          <t>https://learn.microsoft.com/azure/ai-services/openai/</t>
        </is>
      </c>
      <c r="F57" s="3" t="inlineStr">
        <is>
          <t>Tier 1</t>
        </is>
      </c>
      <c r="G57" s="3" t="inlineStr">
        <is>
          <t>Microsoft host/product surface vs OpenAI model attribution</t>
        </is>
      </c>
      <c r="H57" s="3" t="n">
        <v>0.78</v>
      </c>
      <c r="I57" s="3" t="inlineStr">
        <is>
          <t>OpenAI model owner와 Azure product/host surface 분리용.</t>
        </is>
      </c>
    </row>
    <row r="58">
      <c r="A58" s="3" t="inlineStr">
        <is>
          <t>SRC_GOOGLE_CLOUD_ANTHROPIC</t>
        </is>
      </c>
      <c r="B58" s="3" t="inlineStr">
        <is>
          <t>Google Cloud and Anthropic partnership</t>
        </is>
      </c>
      <c r="C58" s="3" t="inlineStr">
        <is>
          <t>Google Cloud</t>
        </is>
      </c>
      <c r="D58" s="3" t="inlineStr">
        <is>
          <t>2026-06-09 accessed</t>
        </is>
      </c>
      <c r="E58" s="3" t="inlineStr">
        <is>
          <t>https://cloud.google.com/blog/products/ai-machine-learning/google-cloud-anthropic-ai-partnership</t>
        </is>
      </c>
      <c r="F58" s="3" t="inlineStr">
        <is>
          <t>Tier 1/2</t>
        </is>
      </c>
      <c r="G58" s="3" t="inlineStr">
        <is>
          <t>Third-party model hosted on cloud provider</t>
        </is>
      </c>
      <c r="H58" s="3" t="n">
        <v>0.72</v>
      </c>
      <c r="I58" s="3" t="inlineStr">
        <is>
          <t>Google host capacity와 Anthropic model-owner attribution 분리용.</t>
        </is>
      </c>
    </row>
    <row r="59">
      <c r="A59" s="3" t="inlineStr">
        <is>
          <t>SRC_ARTIFICIAL_ANALYSIS</t>
        </is>
      </c>
      <c r="B59" s="3" t="inlineStr">
        <is>
          <t>Artificial Analysis model and API benchmarks</t>
        </is>
      </c>
      <c r="C59" s="3" t="inlineStr">
        <is>
          <t>Artificial Analysis</t>
        </is>
      </c>
      <c r="D59" s="3" t="inlineStr">
        <is>
          <t>2026-06-09 accessed</t>
        </is>
      </c>
      <c r="E59" s="3" t="inlineStr">
        <is>
          <t>https://artificialanalysis.ai/</t>
        </is>
      </c>
      <c r="F59" s="3" t="inlineStr">
        <is>
          <t>Tier 2</t>
        </is>
      </c>
      <c r="G59" s="3" t="inlineStr">
        <is>
          <t>Public API price/performance and latency proxy</t>
        </is>
      </c>
      <c r="H59" s="3" t="n">
        <v>0.64</v>
      </c>
      <c r="I59" s="3" t="inlineStr">
        <is>
          <t>commercial API price/latency proxy. company capacity fact 아님.</t>
        </is>
      </c>
    </row>
    <row r="60">
      <c r="A60" s="3" t="inlineStr">
        <is>
          <t>SRC_OPENROUTER_RANKINGS</t>
        </is>
      </c>
      <c r="B60" s="3" t="inlineStr">
        <is>
          <t>OpenRouter model pricing and usage market signals</t>
        </is>
      </c>
      <c r="C60" s="3" t="inlineStr">
        <is>
          <t>OpenRouter</t>
        </is>
      </c>
      <c r="D60" s="3" t="inlineStr">
        <is>
          <t>2026-06-09 accessed</t>
        </is>
      </c>
      <c r="E60" s="3" t="inlineStr">
        <is>
          <t>https://openrouter.ai/rankings</t>
        </is>
      </c>
      <c r="F60" s="3" t="inlineStr">
        <is>
          <t>Tier 2</t>
        </is>
      </c>
      <c r="G60" s="3" t="inlineStr">
        <is>
          <t>API price and demand mix proxy</t>
        </is>
      </c>
      <c r="H60" s="3" t="n">
        <v>0.58</v>
      </c>
      <c r="I60" s="3" t="inlineStr">
        <is>
          <t>market routing proxy. 전체 production traffic fact로 해석하지 않음.</t>
        </is>
      </c>
    </row>
    <row r="61">
      <c r="A61" s="3" t="inlineStr">
        <is>
          <t>SRC_SEMI_100K_CLUSTER</t>
        </is>
      </c>
      <c r="B61" s="3" t="inlineStr">
        <is>
          <t>SemiAnalysis AI infrastructure and 100k H100 cluster analysis</t>
        </is>
      </c>
      <c r="C61" s="3" t="inlineStr">
        <is>
          <t>SemiAnalysis</t>
        </is>
      </c>
      <c r="D61" s="3" t="inlineStr">
        <is>
          <t>2026-06-09 accessed</t>
        </is>
      </c>
      <c r="E61" s="3" t="inlineStr">
        <is>
          <t>https://semianalysis.com/</t>
        </is>
      </c>
      <c r="F61" s="3" t="inlineStr">
        <is>
          <t>Tier 2</t>
        </is>
      </c>
      <c r="G61" s="3" t="inlineStr">
        <is>
          <t>Accelerator cluster, networking and non-GPU overhead context</t>
        </is>
      </c>
      <c r="H61" s="3" t="n">
        <v>0.62</v>
      </c>
      <c r="I61" s="3" t="inlineStr">
        <is>
          <t>cluster architecture context. specific company active GW fact는 아님.</t>
        </is>
      </c>
    </row>
    <row r="62">
      <c r="A62" s="3" t="inlineStr">
        <is>
          <t>SRC_DELLORO_AI_NETWORKS</t>
        </is>
      </c>
      <c r="B62" s="3" t="inlineStr">
        <is>
          <t>AI networks and data center switch market context</t>
        </is>
      </c>
      <c r="C62" s="3" t="inlineStr">
        <is>
          <t>Dell'Oro Group</t>
        </is>
      </c>
      <c r="D62" s="3" t="inlineStr">
        <is>
          <t>2026-06-09 accessed</t>
        </is>
      </c>
      <c r="E62" s="3" t="inlineStr">
        <is>
          <t>https://www.delloro.com/</t>
        </is>
      </c>
      <c r="F62" s="3" t="inlineStr">
        <is>
          <t>Tier 2</t>
        </is>
      </c>
      <c r="G62" s="3" t="inlineStr">
        <is>
          <t>Network/power overhead and AI cluster infrastructure context</t>
        </is>
      </c>
      <c r="H62" s="3" t="n">
        <v>0.58</v>
      </c>
      <c r="I62" s="3" t="inlineStr">
        <is>
          <t>network overhead/context source. model equation에는 직접 계수로 넣지 않음.</t>
        </is>
      </c>
    </row>
  </sheetData>
  <autoFilter ref="A1:I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548258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h200_share*h200_reference + b200_share*b200_reference + gb200_share*gb200_reference + purpose_built_share*purpose_built_reference</t>
        </is>
      </c>
      <c r="I14" s="3" t="inlineStr">
        <is>
          <t>Selected InferenceX proxy model: gptoss120b. Each GPU-generation reference is public benchmark input or documented B200 placeholder, not measured company production throughput.</t>
        </is>
      </c>
      <c r="J14" s="3" t="inlineStr">
        <is>
          <t>SRC_SEMIANALYSIS_INFERENCEX; ASSUMP_NUMERIC_ACCELERATOR_MIX</t>
        </is>
      </c>
      <c r="K14" s="3" t="inlineStr">
        <is>
          <t>ASSUMP_POWER_RAMP; ASSUMP_MS_OPENAI_ATTRIBUTION; ASSUMP_NUMERIC_ACCELERATOR_MIX; ASSUMP_INFERENCE_SHARE_NOT_FACT_60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Closed-model, reasoning, long-context and SLO mismatch is made explicit rather than hiding it in the benchmark.</t>
        </is>
      </c>
      <c r="J15" s="3" t="inlineStr">
        <is>
          <t>SRC_SEMIANALYSIS_INFERENCEX; ASSUMP_NUMERIC_ACCELERATOR_MIX</t>
        </is>
      </c>
      <c r="K15" s="3" t="inlineStr">
        <is>
          <t>ASSUMP_POWER_RAMP; ASSUMP_MS_OPENAI_ATTRIBUTION; ASSUMP_NUMERIC_ACCELERATOR_MIX; ASSUMP_INFERENCE_SHARE_NOT_FACT_60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219303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it is intentionally below the raw public reference unless the commercial workload is closely matched.</t>
        </is>
      </c>
      <c r="J16" s="3" t="inlineStr">
        <is>
          <t>SRC_SEMIANALYSIS_INFERENCEX; ASSUMP_NUMERIC_ACCELERATOR_MIX</t>
        </is>
      </c>
      <c r="K16" s="3" t="inlineStr">
        <is>
          <t>ASSUMP_POWER_RAMP; ASSUMP_MS_OPENAI_ATTRIBUTION; ASSUMP_NUMERIC_ACCELERATOR_MIX; ASSUMP_INFERENCE_SHARE_NOT_FACT_60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289383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219303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2" s="3" t="inlineStr">
        <is>
          <t>SRC_MS_PHI; SRC_OPENAI_GPT41_DOCS; SRC_MS_PHI4_TECHREPORT; SRC_MS_MAIA200; SRC_SEMIANALYSIS_INFERENCEX; ASSUMP_NUMERIC_ACCELERATOR_MIX</t>
        </is>
      </c>
      <c r="K22" s="3" t="inlineStr">
        <is>
          <t>ASSUMP_POWER_RAMP; ASSUMP_MS_OPENAI_ATTRIBUTION; ASSUMP_NUMERIC_ACCELERATOR_MIX; ASSUMP_INFERENCE_SHARE_NOT_FACT_60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10345487443200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3776102916768000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597809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h200_share*h200_reference + b200_share*b200_reference + gb200_share*gb200_reference + purpose_built_share*purpose_built_reference</t>
        </is>
      </c>
      <c r="I37" s="3" t="inlineStr">
        <is>
          <t>Selected InferenceX proxy model: gptoss120b. Each GPU-generation reference is public benchmark input or documented B200 placeholder, not measured company production throughput.</t>
        </is>
      </c>
      <c r="J37" s="3" t="inlineStr">
        <is>
          <t>SRC_SEMIANALYSIS_INFERENCEX; ASSUMP_NUMERIC_ACCELERATOR_MIX</t>
        </is>
      </c>
      <c r="K37" s="3" t="inlineStr">
        <is>
          <t>ASSUMP_POWER_RAMP; ASSUMP_MS_OPENAI_ATTRIBUTION; ASSUMP_NUMERIC_ACCELERATOR_MIX; ASSUMP_INFERENCE_SHARE_NOT_FACT_60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Closed-model, reasoning, long-context and SLO mismatch is made explicit rather than hiding it in the benchmark.</t>
        </is>
      </c>
      <c r="J38" s="3" t="inlineStr">
        <is>
          <t>SRC_SEMIANALYSIS_INFERENCEX; ASSUMP_NUMERIC_ACCELERATOR_MIX</t>
        </is>
      </c>
      <c r="K38" s="3" t="inlineStr">
        <is>
          <t>ASSUMP_POWER_RAMP; ASSUMP_MS_OPENAI_ATTRIBUTION; ASSUMP_NUMERIC_ACCELERATOR_MIX; ASSUMP_INFERENCE_SHARE_NOT_FACT_60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239124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it is intentionally below the raw public reference unless the commercial workload is closely matched.</t>
        </is>
      </c>
      <c r="J39" s="3" t="inlineStr">
        <is>
          <t>SRC_SEMIANALYSIS_INFERENCEX; ASSUMP_NUMERIC_ACCELERATOR_MIX</t>
        </is>
      </c>
      <c r="K39" s="3" t="inlineStr">
        <is>
          <t>ASSUMP_POWER_RAMP; ASSUMP_MS_OPENAI_ATTRIBUTION; ASSUMP_NUMERIC_ACCELERATOR_MIX; ASSUMP_INFERENCE_SHARE_NOT_FACT_60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289383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239124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45" s="3" t="inlineStr">
        <is>
          <t>SRC_MS_PHI; SRC_OPENAI_GPT41_DOCS; SRC_MS_PHI4_TECHREPORT; SRC_MS_MAIA200; SRC_SEMIANALYSIS_INFERENCEX; ASSUMP_NUMERIC_ACCELERATOR_MIX</t>
        </is>
      </c>
      <c r="K45" s="3" t="inlineStr">
        <is>
          <t>ASSUMP_POWER_RAMP; ASSUMP_MS_OPENAI_ATTRIBUTION; ASSUMP_NUMERIC_ACCELERATOR_MIX; ASSUMP_INFERENCE_SHARE_NOT_FACT_60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19462015411200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7103635625088000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639928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h200_share*h200_reference + b200_share*b200_reference + gb200_share*gb200_reference + purpose_built_share*purpose_built_reference</t>
        </is>
      </c>
      <c r="I60" s="3" t="inlineStr">
        <is>
          <t>Selected InferenceX proxy model: gptoss120b. Each GPU-generation reference is public benchmark input or documented B200 placeholder, not measured company production throughput.</t>
        </is>
      </c>
      <c r="J60" s="3" t="inlineStr">
        <is>
          <t>SRC_SEMIANALYSIS_INFERENCEX; ASSUMP_NUMERIC_ACCELERATOR_MIX</t>
        </is>
      </c>
      <c r="K60" s="3" t="inlineStr">
        <is>
          <t>ASSUMP_POWER_RAMP; ASSUMP_MS_OPENAI_ATTRIBUTION; ASSUMP_NUMERIC_ACCELERATOR_MIX; ASSUMP_INFERENCE_SHARE_NOT_FACT_60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Closed-model, reasoning, long-context and SLO mismatch is made explicit rather than hiding it in the benchmark.</t>
        </is>
      </c>
      <c r="J61" s="3" t="inlineStr">
        <is>
          <t>SRC_SEMIANALYSIS_INFERENCEX; ASSUMP_NUMERIC_ACCELERATOR_MIX</t>
        </is>
      </c>
      <c r="K61" s="3" t="inlineStr">
        <is>
          <t>ASSUMP_POWER_RAMP; ASSUMP_MS_OPENAI_ATTRIBUTION; ASSUMP_NUMERIC_ACCELERATOR_MIX; ASSUMP_INFERENCE_SHARE_NOT_FACT_60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255971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it is intentionally below the raw public reference unless the commercial workload is closely matched.</t>
        </is>
      </c>
      <c r="J62" s="3" t="inlineStr">
        <is>
          <t>SRC_SEMIANALYSIS_INFERENCEX; ASSUMP_NUMERIC_ACCELERATOR_MIX</t>
        </is>
      </c>
      <c r="K62" s="3" t="inlineStr">
        <is>
          <t>ASSUMP_POWER_RAMP; ASSUMP_MS_OPENAI_ATTRIBUTION; ASSUMP_NUMERIC_ACCELERATOR_MIX; ASSUMP_INFERENCE_SHARE_NOT_FACT_60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289383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255971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68" s="3" t="inlineStr">
        <is>
          <t>SRC_MS_PHI; SRC_OPENAI_GPT41_DOCS; SRC_MS_PHI4_TECHREPORT; SRC_MS_MAIA200; SRC_SEMIANALYSIS_INFERENCEX; ASSUMP_NUMERIC_ACCELERATOR_MIX</t>
        </is>
      </c>
      <c r="K68" s="3" t="inlineStr">
        <is>
          <t>ASSUMP_POWER_RAMP; ASSUMP_MS_OPENAI_ATTRIBUTION; ASSUMP_NUMERIC_ACCELERATOR_MIX; ASSUMP_INFERENCE_SHARE_NOT_FACT_60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30542050166400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1.1147848310736e+16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675676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h200_share*h200_reference + b200_share*b200_reference + gb200_share*gb200_reference + purpose_built_share*purpose_built_reference</t>
        </is>
      </c>
      <c r="I83" s="3" t="inlineStr">
        <is>
          <t>Selected InferenceX proxy model: gptoss120b. Each GPU-generation reference is public benchmark input or documented B200 placeholder, not measured company production throughput.</t>
        </is>
      </c>
      <c r="J83" s="3" t="inlineStr">
        <is>
          <t>SRC_SEMIANALYSIS_INFERENCEX; ASSUMP_NUMERIC_ACCELERATOR_MIX</t>
        </is>
      </c>
      <c r="K83" s="3" t="inlineStr">
        <is>
          <t>ASSUMP_POWER_RAMP; ASSUMP_MS_OPENAI_ATTRIBUTION; ASSUMP_NUMERIC_ACCELERATOR_MIX; ASSUMP_INFERENCE_SHARE_NOT_FACT_60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Closed-model, reasoning, long-context and SLO mismatch is made explicit rather than hiding it in the benchmark.</t>
        </is>
      </c>
      <c r="J84" s="3" t="inlineStr">
        <is>
          <t>SRC_SEMIANALYSIS_INFERENCEX; ASSUMP_NUMERIC_ACCELERATOR_MIX</t>
        </is>
      </c>
      <c r="K84" s="3" t="inlineStr">
        <is>
          <t>ASSUMP_POWER_RAMP; ASSUMP_MS_OPENAI_ATTRIBUTION; ASSUMP_NUMERIC_ACCELERATOR_MIX; ASSUMP_INFERENCE_SHARE_NOT_FACT_60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270270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it is intentionally below the raw public reference unless the commercial workload is closely matched.</t>
        </is>
      </c>
      <c r="J85" s="3" t="inlineStr">
        <is>
          <t>SRC_SEMIANALYSIS_INFERENCEX; ASSUMP_NUMERIC_ACCELERATOR_MIX</t>
        </is>
      </c>
      <c r="K85" s="3" t="inlineStr">
        <is>
          <t>ASSUMP_POWER_RAMP; ASSUMP_MS_OPENAI_ATTRIBUTION; ASSUMP_NUMERIC_ACCELERATOR_MIX; ASSUMP_INFERENCE_SHARE_NOT_FACT_60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289383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270270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91" s="3" t="inlineStr">
        <is>
          <t>SRC_MS_PHI; SRC_OPENAI_GPT41_DOCS; SRC_MS_PHI4_TECHREPORT; SRC_MS_MAIA200; SRC_SEMIANALYSIS_INFERENCEX; ASSUMP_NUMERIC_ACCELERATOR_MIX</t>
        </is>
      </c>
      <c r="K91" s="3" t="inlineStr">
        <is>
          <t>ASSUMP_POWER_RAMP; ASSUMP_MS_OPENAI_ATTRIBUTION; ASSUMP_NUMERIC_ACCELERATOR_MIX; ASSUMP_INFERENCE_SHARE_NOT_FACT_60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43363416096000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1.582764687504e+16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703991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h200_share*h200_reference + b200_share*b200_reference + gb200_share*gb200_reference + purpose_built_share*purpose_built_reference</t>
        </is>
      </c>
      <c r="I106" s="3" t="inlineStr">
        <is>
          <t>Selected InferenceX proxy model: gptoss120b. Each GPU-generation reference is public benchmark input or documented B200 placeholder, not measured company production throughput.</t>
        </is>
      </c>
      <c r="J106" s="3" t="inlineStr">
        <is>
          <t>SRC_SEMIANALYSIS_INFERENCEX; ASSUMP_NUMERIC_ACCELERATOR_MIX</t>
        </is>
      </c>
      <c r="K106" s="3" t="inlineStr">
        <is>
          <t>ASSUMP_POWER_RAMP; ASSUMP_MS_OPENAI_ATTRIBUTION; ASSUMP_NUMERIC_ACCELERATOR_MIX; ASSUMP_INFERENCE_SHARE_NOT_FACT_60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Closed-model, reasoning, long-context and SLO mismatch is made explicit rather than hiding it in the benchmark.</t>
        </is>
      </c>
      <c r="J107" s="3" t="inlineStr">
        <is>
          <t>SRC_SEMIANALYSIS_INFERENCEX; ASSUMP_NUMERIC_ACCELERATOR_MIX</t>
        </is>
      </c>
      <c r="K107" s="3" t="inlineStr">
        <is>
          <t>ASSUMP_POWER_RAMP; ASSUMP_MS_OPENAI_ATTRIBUTION; ASSUMP_NUMERIC_ACCELERATOR_MIX; ASSUMP_INFERENCE_SHARE_NOT_FACT_60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281596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it is intentionally below the raw public reference unless the commercial workload is closely matched.</t>
        </is>
      </c>
      <c r="J108" s="3" t="inlineStr">
        <is>
          <t>SRC_SEMIANALYSIS_INFERENCEX; ASSUMP_NUMERIC_ACCELERATOR_MIX</t>
        </is>
      </c>
      <c r="K108" s="3" t="inlineStr">
        <is>
          <t>ASSUMP_POWER_RAMP; ASSUMP_MS_OPENAI_ATTRIBUTION; ASSUMP_NUMERIC_ACCELERATOR_MIX; ASSUMP_INFERENCE_SHARE_NOT_FACT_60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289383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281596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14" s="3" t="inlineStr">
        <is>
          <t>SRC_MS_PHI; SRC_OPENAI_GPT41_DOCS; SRC_MS_PHI4_TECHREPORT; SRC_MS_MAIA200; SRC_SEMIANALYSIS_INFERENCEX; ASSUMP_NUMERIC_ACCELERATOR_MIX</t>
        </is>
      </c>
      <c r="K114" s="3" t="inlineStr">
        <is>
          <t>ASSUMP_POWER_RAMP; ASSUMP_MS_OPENAI_ATTRIBUTION; ASSUMP_NUMERIC_ACCELERATOR_MIX; ASSUMP_INFERENCE_SHARE_NOT_FACT_60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57613189939200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2.1028814327808e+16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684525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h200_share*h200_reference + b200_share*b200_reference + gb200_share*gb200_reference + purpose_built_share*purpose_built_reference</t>
        </is>
      </c>
      <c r="I129" s="3" t="inlineStr">
        <is>
          <t>Selected InferenceX proxy model: gptoss120b. Each GPU-generation reference is public benchmark input or documented B200 placeholder, not measured company production throughput.</t>
        </is>
      </c>
      <c r="J129" s="3" t="inlineStr">
        <is>
          <t>SRC_SEMIANALYSIS_INFERENCEX; ASSUMP_NUMERIC_ACCELERATOR_MIX</t>
        </is>
      </c>
      <c r="K129" s="3" t="inlineStr">
        <is>
          <t>ASSUMP_TPU_EFFICIENCY; ASSUMP_POWER_RAMP; ASSUMP_NUMERIC_ACCELERATOR_MIX; ASSUMP_INFERENCE_SHARE_NOT_FACT_60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Closed-model, reasoning, long-context and SLO mismatch is made explicit rather than hiding it in the benchmark.</t>
        </is>
      </c>
      <c r="J130" s="3" t="inlineStr">
        <is>
          <t>SRC_SEMIANALYSIS_INFERENCEX; ASSUMP_NUMERIC_ACCELERATOR_MIX</t>
        </is>
      </c>
      <c r="K130" s="3" t="inlineStr">
        <is>
          <t>ASSUMP_TPU_EFFICIENCY; ASSUMP_POWER_RAMP; ASSUMP_NUMERIC_ACCELERATOR_MIX; ASSUMP_INFERENCE_SHARE_NOT_FACT_60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273810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it is intentionally below the raw public reference unless the commercial workload is closely matched.</t>
        </is>
      </c>
      <c r="J131" s="3" t="inlineStr">
        <is>
          <t>SRC_SEMIANALYSIS_INFERENCEX; ASSUMP_NUMERIC_ACCELERATOR_MIX</t>
        </is>
      </c>
      <c r="K131" s="3" t="inlineStr">
        <is>
          <t>ASSUMP_TPU_EFFICIENCY; ASSUMP_POWER_RAMP; ASSUMP_NUMERIC_ACCELERATOR_MIX; ASSUMP_INFERENCE_SHARE_NOT_FACT_60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289383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273810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37" s="3" t="inlineStr">
        <is>
          <t>SRC_GOOGLE_GEMINI_TOKENS; SRC_GOOGLE_IRONWOOD; SRC_GOOGLE_TPU_V6E; SRC_SEMIANALYSIS_INFERENCEX; ASSUMP_NUMERIC_ACCELERATOR_MIX</t>
        </is>
      </c>
      <c r="K137" s="3" t="inlineStr">
        <is>
          <t>ASSUMP_TPU_EFFICIENCY; ASSUMP_POWER_RAMP; ASSUMP_NUMERIC_ACCELERATOR_MIX; ASSUMP_INFERENCE_SHARE_NOT_FACT_60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16418085696000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5992601279040000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696205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h200_share*h200_reference + b200_share*b200_reference + gb200_share*gb200_reference + purpose_built_share*purpose_built_reference</t>
        </is>
      </c>
      <c r="I152" s="3" t="inlineStr">
        <is>
          <t>Selected InferenceX proxy model: gptoss120b. Each GPU-generation reference is public benchmark input or documented B200 placeholder, not measured company production throughput.</t>
        </is>
      </c>
      <c r="J152" s="3" t="inlineStr">
        <is>
          <t>SRC_SEMIANALYSIS_INFERENCEX; ASSUMP_NUMERIC_ACCELERATOR_MIX</t>
        </is>
      </c>
      <c r="K152" s="3" t="inlineStr">
        <is>
          <t>ASSUMP_TPU_EFFICIENCY; ASSUMP_POWER_RAMP; ASSUMP_NUMERIC_ACCELERATOR_MIX; ASSUMP_INFERENCE_SHARE_NOT_FACT_60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Closed-model, reasoning, long-context and SLO mismatch is made explicit rather than hiding it in the benchmark.</t>
        </is>
      </c>
      <c r="J153" s="3" t="inlineStr">
        <is>
          <t>SRC_SEMIANALYSIS_INFERENCEX; ASSUMP_NUMERIC_ACCELERATOR_MIX</t>
        </is>
      </c>
      <c r="K153" s="3" t="inlineStr">
        <is>
          <t>ASSUMP_TPU_EFFICIENCY; ASSUMP_POWER_RAMP; ASSUMP_NUMERIC_ACCELERATOR_MIX; ASSUMP_INFERENCE_SHARE_NOT_FACT_60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278482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it is intentionally below the raw public reference unless the commercial workload is closely matched.</t>
        </is>
      </c>
      <c r="J154" s="3" t="inlineStr">
        <is>
          <t>SRC_SEMIANALYSIS_INFERENCEX; ASSUMP_NUMERIC_ACCELERATOR_MIX</t>
        </is>
      </c>
      <c r="K154" s="3" t="inlineStr">
        <is>
          <t>ASSUMP_TPU_EFFICIENCY; ASSUMP_POWER_RAMP; ASSUMP_NUMERIC_ACCELERATOR_MIX; ASSUMP_INFERENCE_SHARE_NOT_FACT_60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289383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278482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60" s="3" t="inlineStr">
        <is>
          <t>SRC_GOOGLE_GEMINI_TOKENS; SRC_GOOGLE_IRONWOOD; SRC_GOOGLE_TPU_V6E; SRC_SEMIANALYSIS_INFERENCEX; ASSUMP_NUMERIC_ACCELERATOR_MIX</t>
        </is>
      </c>
      <c r="K160" s="3" t="inlineStr">
        <is>
          <t>ASSUMP_TPU_EFFICIENCY; ASSUMP_POWER_RAMP; ASSUMP_NUMERIC_ACCELERATOR_MIX; ASSUMP_INFERENCE_SHARE_NOT_FACT_60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26851902796800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9800944520832000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706115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h200_share*h200_reference + b200_share*b200_reference + gb200_share*gb200_reference + purpose_built_share*purpose_built_reference</t>
        </is>
      </c>
      <c r="I175" s="3" t="inlineStr">
        <is>
          <t>Selected InferenceX proxy model: gptoss120b. Each GPU-generation reference is public benchmark input or documented B200 placeholder, not measured company production throughput.</t>
        </is>
      </c>
      <c r="J175" s="3" t="inlineStr">
        <is>
          <t>SRC_SEMIANALYSIS_INFERENCEX; ASSUMP_NUMERIC_ACCELERATOR_MIX</t>
        </is>
      </c>
      <c r="K175" s="3" t="inlineStr">
        <is>
          <t>ASSUMP_TPU_EFFICIENCY; ASSUMP_POWER_RAMP; ASSUMP_NUMERIC_ACCELERATOR_MIX; ASSUMP_INFERENCE_SHARE_NOT_FACT_60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Closed-model, reasoning, long-context and SLO mismatch is made explicit rather than hiding it in the benchmark.</t>
        </is>
      </c>
      <c r="J176" s="3" t="inlineStr">
        <is>
          <t>SRC_SEMIANALYSIS_INFERENCEX; ASSUMP_NUMERIC_ACCELERATOR_MIX</t>
        </is>
      </c>
      <c r="K176" s="3" t="inlineStr">
        <is>
          <t>ASSUMP_TPU_EFFICIENCY; ASSUMP_POWER_RAMP; ASSUMP_NUMERIC_ACCELERATOR_MIX; ASSUMP_INFERENCE_SHARE_NOT_FACT_60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282446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it is intentionally below the raw public reference unless the commercial workload is closely matched.</t>
        </is>
      </c>
      <c r="J177" s="3" t="inlineStr">
        <is>
          <t>SRC_SEMIANALYSIS_INFERENCEX; ASSUMP_NUMERIC_ACCELERATOR_MIX</t>
        </is>
      </c>
      <c r="K177" s="3" t="inlineStr">
        <is>
          <t>ASSUMP_TPU_EFFICIENCY; ASSUMP_POWER_RAMP; ASSUMP_NUMERIC_ACCELERATOR_MIX; ASSUMP_INFERENCE_SHARE_NOT_FACT_60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289383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282446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83" s="3" t="inlineStr">
        <is>
          <t>SRC_GOOGLE_GEMINI_TOKENS; SRC_GOOGLE_IRONWOOD; SRC_GOOGLE_TPU_V6E; SRC_SEMIANALYSIS_INFERENCEX; ASSUMP_NUMERIC_ACCELERATOR_MIX</t>
        </is>
      </c>
      <c r="K183" s="3" t="inlineStr">
        <is>
          <t>ASSUMP_TPU_EFFICIENCY; ASSUMP_POWER_RAMP; ASSUMP_NUMERIC_ACCELERATOR_MIX; ASSUMP_INFERENCE_SHARE_NOT_FACT_60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38386445011200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1.4011052429088e+16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713902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h200_share*h200_reference + b200_share*b200_reference + gb200_share*gb200_reference + purpose_built_share*purpose_built_reference</t>
        </is>
      </c>
      <c r="I198" s="3" t="inlineStr">
        <is>
          <t>Selected InferenceX proxy model: gptoss120b. Each GPU-generation reference is public benchmark input or documented B200 placeholder, not measured company production throughput.</t>
        </is>
      </c>
      <c r="J198" s="3" t="inlineStr">
        <is>
          <t>SRC_SEMIANALYSIS_INFERENCEX; ASSUMP_NUMERIC_ACCELERATOR_MIX</t>
        </is>
      </c>
      <c r="K198" s="3" t="inlineStr">
        <is>
          <t>ASSUMP_TPU_EFFICIENCY; ASSUMP_POWER_RAMP; ASSUMP_NUMERIC_ACCELERATOR_MIX; ASSUMP_INFERENCE_SHARE_NOT_FACT_60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Closed-model, reasoning, long-context and SLO mismatch is made explicit rather than hiding it in the benchmark.</t>
        </is>
      </c>
      <c r="J199" s="3" t="inlineStr">
        <is>
          <t>SRC_SEMIANALYSIS_INFERENCEX; ASSUMP_NUMERIC_ACCELERATOR_MIX</t>
        </is>
      </c>
      <c r="K199" s="3" t="inlineStr">
        <is>
          <t>ASSUMP_TPU_EFFICIENCY; ASSUMP_POWER_RAMP; ASSUMP_NUMERIC_ACCELERATOR_MIX; ASSUMP_INFERENCE_SHARE_NOT_FACT_60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285561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it is intentionally below the raw public reference unless the commercial workload is closely matched.</t>
        </is>
      </c>
      <c r="J200" s="3" t="inlineStr">
        <is>
          <t>SRC_SEMIANALYSIS_INFERENCEX; ASSUMP_NUMERIC_ACCELERATOR_MIX</t>
        </is>
      </c>
      <c r="K200" s="3" t="inlineStr">
        <is>
          <t>ASSUMP_TPU_EFFICIENCY; ASSUMP_POWER_RAMP; ASSUMP_NUMERIC_ACCELERATOR_MIX; ASSUMP_INFERENCE_SHARE_NOT_FACT_60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289383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285561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06" s="3" t="inlineStr">
        <is>
          <t>SRC_GOOGLE_GEMINI_TOKENS; SRC_GOOGLE_IRONWOOD; SRC_GOOGLE_TPU_V6E; SRC_SEMIANALYSIS_INFERENCEX; ASSUMP_NUMERIC_ACCELERATOR_MIX</t>
        </is>
      </c>
      <c r="K206" s="3" t="inlineStr">
        <is>
          <t>ASSUMP_TPU_EFFICIENCY; ASSUMP_POWER_RAMP; ASSUMP_NUMERIC_ACCELERATOR_MIX; ASSUMP_INFERENCE_SHARE_NOT_FACT_60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50874633964800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1.8569241397152e+16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719919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h200_share*h200_reference + b200_share*b200_reference + gb200_share*gb200_reference + purpose_built_share*purpose_built_reference</t>
        </is>
      </c>
      <c r="I221" s="3" t="inlineStr">
        <is>
          <t>Selected InferenceX proxy model: gptoss120b. Each GPU-generation reference is public benchmark input or documented B200 placeholder, not measured company production throughput.</t>
        </is>
      </c>
      <c r="J221" s="3" t="inlineStr">
        <is>
          <t>SRC_SEMIANALYSIS_INFERENCEX; ASSUMP_NUMERIC_ACCELERATOR_MIX</t>
        </is>
      </c>
      <c r="K221" s="3" t="inlineStr">
        <is>
          <t>ASSUMP_TPU_EFFICIENCY; ASSUMP_POWER_RAMP; ASSUMP_NUMERIC_ACCELERATOR_MIX; ASSUMP_INFERENCE_SHARE_NOT_FACT_60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2" s="3" t="inlineStr">
        <is>
          <t>SRC_SEMIANALYSIS_INFERENCEX; ASSUMP_NUMERIC_ACCELERATOR_MIX</t>
        </is>
      </c>
      <c r="K222" s="3" t="inlineStr">
        <is>
          <t>ASSUMP_TPU_EFFICIENCY; ASSUMP_POWER_RAMP; ASSUMP_NUMERIC_ACCELERATOR_MIX; ASSUMP_INFERENCE_SHARE_NOT_FACT_60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287968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it is intentionally below the raw public reference unless the commercial workload is closely matched.</t>
        </is>
      </c>
      <c r="J223" s="3" t="inlineStr">
        <is>
          <t>SRC_SEMIANALYSIS_INFERENCEX; ASSUMP_NUMERIC_ACCELERATOR_MIX</t>
        </is>
      </c>
      <c r="K223" s="3" t="inlineStr">
        <is>
          <t>ASSUMP_TPU_EFFICIENCY; ASSUMP_POWER_RAMP; ASSUMP_NUMERIC_ACCELERATOR_MIX; ASSUMP_INFERENCE_SHARE_NOT_FACT_60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289383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287968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9" s="3" t="inlineStr">
        <is>
          <t>SRC_GOOGLE_GEMINI_TOKENS; SRC_GOOGLE_IRONWOOD; SRC_GOOGLE_TPU_V6E; SRC_SEMIANALYSIS_INFERENCEX; ASSUMP_NUMERIC_ACCELERATOR_MIX</t>
        </is>
      </c>
      <c r="K229" s="3" t="inlineStr">
        <is>
          <t>ASSUMP_TPU_EFFICIENCY; ASSUMP_POWER_RAMP; ASSUMP_NUMERIC_ACCELERATOR_MIX; ASSUMP_INFERENCE_SHARE_NOT_FACT_60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64141761945600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2.3411743110144e+16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201780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h200_share*h200_reference + b200_share*b200_reference + gb200_share*gb200_reference + purpose_built_share*purpose_built_reference</t>
        </is>
      </c>
      <c r="I244" s="3" t="inlineStr">
        <is>
          <t>Selected InferenceX proxy model: llama70b. Each GPU-generation reference is public benchmark input or documented B200 placeholder, not measured company production throughput.</t>
        </is>
      </c>
      <c r="J244" s="3" t="inlineStr">
        <is>
          <t>SRC_SEMIANALYSIS_INFERENCEX; ASSUMP_NUMERIC_ACCELERATOR_MIX</t>
        </is>
      </c>
      <c r="K244" s="3" t="inlineStr">
        <is>
          <t>ASSUMP_CONSUMER_AI_UTILIZATION; ASSUMP_POWER_RAMP; ASSUMP_NUMERIC_ACCELERATOR_MIX; ASSUMP_INFERENCE_SHARE_NOT_FACT_60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Closed-model, reasoning, long-context and SLO mismatch is made explicit rather than hiding it in the benchmark.</t>
        </is>
      </c>
      <c r="J245" s="3" t="inlineStr">
        <is>
          <t>SRC_SEMIANALYSIS_INFERENCEX; ASSUMP_NUMERIC_ACCELERATOR_MIX</t>
        </is>
      </c>
      <c r="K245" s="3" t="inlineStr">
        <is>
          <t>ASSUMP_CONSUMER_AI_UTILIZATION; ASSUMP_POWER_RAMP; ASSUMP_NUMERIC_ACCELERATOR_MIX; ASSUMP_INFERENCE_SHARE_NOT_FACT_60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151335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it is intentionally below the raw public reference unless the commercial workload is closely matched.</t>
        </is>
      </c>
      <c r="J246" s="3" t="inlineStr">
        <is>
          <t>SRC_SEMIANALYSIS_INFERENCEX; ASSUMP_NUMERIC_ACCELERATOR_MIX</t>
        </is>
      </c>
      <c r="K246" s="3" t="inlineStr">
        <is>
          <t>ASSUMP_CONSUMER_AI_UTILIZATION; ASSUMP_POWER_RAMP; ASSUMP_NUMERIC_ACCELERATOR_MIX; ASSUMP_INFERENCE_SHARE_NOT_FACT_60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150643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151335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52" s="3" t="inlineStr">
        <is>
          <t>SRC_META_LLAMA; SRC_META_LLAMA4_NVIDIA; SRC_META_MTIA_GENAI_2026; SRC_SEMIANALYSIS_INFERENCEX; ASSUMP_NUMERIC_ACCELERATOR_MIX</t>
        </is>
      </c>
      <c r="K252" s="3" t="inlineStr">
        <is>
          <t>ASSUMP_CONSUMER_AI_UTILIZATION; ASSUMP_POWER_RAMP; ASSUMP_NUMERIC_ACCELERATOR_MIX; ASSUMP_INFERENCE_SHARE_NOT_FACT_60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6825329568000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2491245292320000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201519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h200_share*h200_reference + b200_share*b200_reference + gb200_share*gb200_reference + purpose_built_share*purpose_built_reference</t>
        </is>
      </c>
      <c r="I267" s="3" t="inlineStr">
        <is>
          <t>Selected InferenceX proxy model: llama70b. Each GPU-generation reference is public benchmark input or documented B200 placeholder, not measured company production throughput.</t>
        </is>
      </c>
      <c r="J267" s="3" t="inlineStr">
        <is>
          <t>SRC_SEMIANALYSIS_INFERENCEX; ASSUMP_NUMERIC_ACCELERATOR_MIX</t>
        </is>
      </c>
      <c r="K267" s="3" t="inlineStr">
        <is>
          <t>ASSUMP_CONSUMER_AI_UTILIZATION; ASSUMP_POWER_RAMP; ASSUMP_NUMERIC_ACCELERATOR_MIX; ASSUMP_INFERENCE_SHARE_NOT_FACT_60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Closed-model, reasoning, long-context and SLO mismatch is made explicit rather than hiding it in the benchmark.</t>
        </is>
      </c>
      <c r="J268" s="3" t="inlineStr">
        <is>
          <t>SRC_SEMIANALYSIS_INFERENCEX; ASSUMP_NUMERIC_ACCELERATOR_MIX</t>
        </is>
      </c>
      <c r="K268" s="3" t="inlineStr">
        <is>
          <t>ASSUMP_CONSUMER_AI_UTILIZATION; ASSUMP_POWER_RAMP; ASSUMP_NUMERIC_ACCELERATOR_MIX; ASSUMP_INFERENCE_SHARE_NOT_FACT_60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151139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it is intentionally below the raw public reference unless the commercial workload is closely matched.</t>
        </is>
      </c>
      <c r="J269" s="3" t="inlineStr">
        <is>
          <t>SRC_SEMIANALYSIS_INFERENCEX; ASSUMP_NUMERIC_ACCELERATOR_MIX</t>
        </is>
      </c>
      <c r="K269" s="3" t="inlineStr">
        <is>
          <t>ASSUMP_CONSUMER_AI_UTILIZATION; ASSUMP_POWER_RAMP; ASSUMP_NUMERIC_ACCELERATOR_MIX; ASSUMP_INFERENCE_SHARE_NOT_FACT_60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150643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151139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75" s="3" t="inlineStr">
        <is>
          <t>SRC_META_LLAMA; SRC_META_LLAMA4_NVIDIA; SRC_META_MTIA_GENAI_2026; SRC_SEMIANALYSIS_INFERENCEX; ASSUMP_NUMERIC_ACCELERATOR_MIX</t>
        </is>
      </c>
      <c r="K275" s="3" t="inlineStr">
        <is>
          <t>ASSUMP_CONSUMER_AI_UTILIZATION; ASSUMP_POWER_RAMP; ASSUMP_NUMERIC_ACCELERATOR_MIX; ASSUMP_INFERENCE_SHARE_NOT_FACT_60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12026795241600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4389780263184000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201297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h200_share*h200_reference + b200_share*b200_reference + gb200_share*gb200_reference + purpose_built_share*purpose_built_reference</t>
        </is>
      </c>
      <c r="I290" s="3" t="inlineStr">
        <is>
          <t>Selected InferenceX proxy model: llama70b. Each GPU-generation reference is public benchmark input or documented B200 placeholder, not measured company production throughput.</t>
        </is>
      </c>
      <c r="J290" s="3" t="inlineStr">
        <is>
          <t>SRC_SEMIANALYSIS_INFERENCEX; ASSUMP_NUMERIC_ACCELERATOR_MIX</t>
        </is>
      </c>
      <c r="K290" s="3" t="inlineStr">
        <is>
          <t>ASSUMP_CONSUMER_AI_UTILIZATION; ASSUMP_POWER_RAMP; ASSUMP_NUMERIC_ACCELERATOR_MIX; ASSUMP_INFERENCE_SHARE_NOT_FACT_60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Closed-model, reasoning, long-context and SLO mismatch is made explicit rather than hiding it in the benchmark.</t>
        </is>
      </c>
      <c r="J291" s="3" t="inlineStr">
        <is>
          <t>SRC_SEMIANALYSIS_INFERENCEX; ASSUMP_NUMERIC_ACCELERATOR_MIX</t>
        </is>
      </c>
      <c r="K291" s="3" t="inlineStr">
        <is>
          <t>ASSUMP_CONSUMER_AI_UTILIZATION; ASSUMP_POWER_RAMP; ASSUMP_NUMERIC_ACCELERATOR_MIX; ASSUMP_INFERENCE_SHARE_NOT_FACT_60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150973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it is intentionally below the raw public reference unless the commercial workload is closely matched.</t>
        </is>
      </c>
      <c r="J292" s="3" t="inlineStr">
        <is>
          <t>SRC_SEMIANALYSIS_INFERENCEX; ASSUMP_NUMERIC_ACCELERATOR_MIX</t>
        </is>
      </c>
      <c r="K292" s="3" t="inlineStr">
        <is>
          <t>ASSUMP_CONSUMER_AI_UTILIZATION; ASSUMP_POWER_RAMP; ASSUMP_NUMERIC_ACCELERATOR_MIX; ASSUMP_INFERENCE_SHARE_NOT_FACT_60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150643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150973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98" s="3" t="inlineStr">
        <is>
          <t>SRC_META_LLAMA; SRC_META_LLAMA4_NVIDIA; SRC_META_MTIA_GENAI_2026; SRC_SEMIANALYSIS_INFERENCEX; ASSUMP_NUMERIC_ACCELERATOR_MIX</t>
        </is>
      </c>
      <c r="K298" s="3" t="inlineStr">
        <is>
          <t>ASSUMP_CONSUMER_AI_UTILIZATION; ASSUMP_POWER_RAMP; ASSUMP_NUMERIC_ACCELERATOR_MIX; ASSUMP_INFERENCE_SHARE_NOT_FACT_60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17752975459200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6479836042608000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201109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h200_share*h200_reference + b200_share*b200_reference + gb200_share*gb200_reference + purpose_built_share*purpose_built_reference</t>
        </is>
      </c>
      <c r="I313" s="3" t="inlineStr">
        <is>
          <t>Selected InferenceX proxy model: llama70b. Each GPU-generation reference is public benchmark input or documented B200 placeholder, not measured company production throughput.</t>
        </is>
      </c>
      <c r="J313" s="3" t="inlineStr">
        <is>
          <t>SRC_SEMIANALYSIS_INFERENCEX; ASSUMP_NUMERIC_ACCELERATOR_MIX</t>
        </is>
      </c>
      <c r="K313" s="3" t="inlineStr">
        <is>
          <t>ASSUMP_CONSUMER_AI_UTILIZATION; ASSUMP_POWER_RAMP; ASSUMP_NUMERIC_ACCELERATOR_MIX; ASSUMP_INFERENCE_SHARE_NOT_FACT_60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Closed-model, reasoning, long-context and SLO mismatch is made explicit rather than hiding it in the benchmark.</t>
        </is>
      </c>
      <c r="J314" s="3" t="inlineStr">
        <is>
          <t>SRC_SEMIANALYSIS_INFERENCEX; ASSUMP_NUMERIC_ACCELERATOR_MIX</t>
        </is>
      </c>
      <c r="K314" s="3" t="inlineStr">
        <is>
          <t>ASSUMP_CONSUMER_AI_UTILIZATION; ASSUMP_POWER_RAMP; ASSUMP_NUMERIC_ACCELERATOR_MIX; ASSUMP_INFERENCE_SHARE_NOT_FACT_60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150832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it is intentionally below the raw public reference unless the commercial workload is closely matched.</t>
        </is>
      </c>
      <c r="J315" s="3" t="inlineStr">
        <is>
          <t>SRC_SEMIANALYSIS_INFERENCEX; ASSUMP_NUMERIC_ACCELERATOR_MIX</t>
        </is>
      </c>
      <c r="K315" s="3" t="inlineStr">
        <is>
          <t>ASSUMP_CONSUMER_AI_UTILIZATION; ASSUMP_POWER_RAMP; ASSUMP_NUMERIC_ACCELERATOR_MIX; ASSUMP_INFERENCE_SHARE_NOT_FACT_60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150643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150832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21" s="3" t="inlineStr">
        <is>
          <t>SRC_META_LLAMA; SRC_META_LLAMA4_NVIDIA; SRC_META_MTIA_GENAI_2026; SRC_SEMIANALYSIS_INFERENCEX; ASSUMP_NUMERIC_ACCELERATOR_MIX</t>
        </is>
      </c>
      <c r="K321" s="3" t="inlineStr">
        <is>
          <t>ASSUMP_CONSUMER_AI_UTILIZATION; ASSUMP_POWER_RAMP; ASSUMP_NUMERIC_ACCELERATOR_MIX; ASSUMP_INFERENCE_SHARE_NOT_FACT_60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23939572377600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8737943917824000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200960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h200_share*h200_reference + b200_share*b200_reference + gb200_share*gb200_reference + purpose_built_share*purpose_built_reference</t>
        </is>
      </c>
      <c r="I336" s="3" t="inlineStr">
        <is>
          <t>Selected InferenceX proxy model: llama70b. Each GPU-generation reference is public benchmark input or documented B200 placeholder, not measured company production throughput.</t>
        </is>
      </c>
      <c r="J336" s="3" t="inlineStr">
        <is>
          <t>SRC_SEMIANALYSIS_INFERENCEX; ASSUMP_NUMERIC_ACCELERATOR_MIX</t>
        </is>
      </c>
      <c r="K336" s="3" t="inlineStr">
        <is>
          <t>ASSUMP_CONSUMER_AI_UTILIZATION; ASSUMP_POWER_RAMP; ASSUMP_NUMERIC_ACCELERATOR_MIX; ASSUMP_INFERENCE_SHARE_NOT_FACT_60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Closed-model, reasoning, long-context and SLO mismatch is made explicit rather than hiding it in the benchmark.</t>
        </is>
      </c>
      <c r="J337" s="3" t="inlineStr">
        <is>
          <t>SRC_SEMIANALYSIS_INFERENCEX; ASSUMP_NUMERIC_ACCELERATOR_MIX</t>
        </is>
      </c>
      <c r="K337" s="3" t="inlineStr">
        <is>
          <t>ASSUMP_CONSUMER_AI_UTILIZATION; ASSUMP_POWER_RAMP; ASSUMP_NUMERIC_ACCELERATOR_MIX; ASSUMP_INFERENCE_SHARE_NOT_FACT_60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150720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it is intentionally below the raw public reference unless the commercial workload is closely matched.</t>
        </is>
      </c>
      <c r="J338" s="3" t="inlineStr">
        <is>
          <t>SRC_SEMIANALYSIS_INFERENCEX; ASSUMP_NUMERIC_ACCELERATOR_MIX</t>
        </is>
      </c>
      <c r="K338" s="3" t="inlineStr">
        <is>
          <t>ASSUMP_CONSUMER_AI_UTILIZATION; ASSUMP_POWER_RAMP; ASSUMP_NUMERIC_ACCELERATOR_MIX; ASSUMP_INFERENCE_SHARE_NOT_FACT_60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150643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150720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44" s="3" t="inlineStr">
        <is>
          <t>SRC_META_LLAMA; SRC_META_LLAMA4_NVIDIA; SRC_META_MTIA_GENAI_2026; SRC_SEMIANALYSIS_INFERENCEX; ASSUMP_NUMERIC_ACCELERATOR_MIX</t>
        </is>
      </c>
      <c r="K344" s="3" t="inlineStr">
        <is>
          <t>ASSUMP_CONSUMER_AI_UTILIZATION; ASSUMP_POWER_RAMP; ASSUMP_NUMERIC_ACCELERATOR_MIX; ASSUMP_INFERENCE_SHARE_NOT_FACT_60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30537077760000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1.11460333824e+16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528791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h200_share*h200_reference + b200_share*b200_reference + gb200_share*gb200_reference + purpose_built_share*purpose_built_reference</t>
        </is>
      </c>
      <c r="I359" s="3" t="inlineStr">
        <is>
          <t>Selected InferenceX proxy model: gptoss120b. Each GPU-generation reference is public benchmark input or documented B200 placeholder, not measured company production throughput.</t>
        </is>
      </c>
      <c r="J359" s="3" t="inlineStr">
        <is>
          <t>SRC_SEMIANALYSIS_INFERENCEX; ASSUMP_NUMERIC_ACCELERATOR_MIX</t>
        </is>
      </c>
      <c r="K359" s="3" t="inlineStr">
        <is>
          <t>ASSUMP_CLUSTER_RAMP; ASSUMP_CLOSED_MODEL_BAND; ASSUMP_NUMERIC_ACCELERATOR_MIX; ASSUMP_INFERENCE_SHARE_NOT_FACT_60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Closed-model, reasoning, long-context and SLO mismatch is made explicit rather than hiding it in the benchmark.</t>
        </is>
      </c>
      <c r="J360" s="3" t="inlineStr">
        <is>
          <t>SRC_SEMIANALYSIS_INFERENCEX; ASSUMP_NUMERIC_ACCELERATOR_MIX</t>
        </is>
      </c>
      <c r="K360" s="3" t="inlineStr">
        <is>
          <t>ASSUMP_CLUSTER_RAMP; ASSUMP_CLOSED_MODEL_BAND; ASSUMP_NUMERIC_ACCELERATOR_MIX; ASSUMP_INFERENCE_SHARE_NOT_FACT_60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185077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it is intentionally below the raw public reference unless the commercial workload is closely matched.</t>
        </is>
      </c>
      <c r="J361" s="3" t="inlineStr">
        <is>
          <t>SRC_SEMIANALYSIS_INFERENCEX; ASSUMP_NUMERIC_ACCELERATOR_MIX</t>
        </is>
      </c>
      <c r="K361" s="3" t="inlineStr">
        <is>
          <t>ASSUMP_CLUSTER_RAMP; ASSUMP_CLOSED_MODEL_BAND; ASSUMP_NUMERIC_ACCELERATOR_MIX; ASSUMP_INFERENCE_SHARE_NOT_FACT_60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253210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185077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67" s="3" t="inlineStr">
        <is>
          <t>SRC_XAI_MODELS; SRC_XAI_NVIDIA_COLOSSUS; SRC_SEMIANALYSIS_INFERENCEX; ASSUMP_NUMERIC_ACCELERATOR_MIX</t>
        </is>
      </c>
      <c r="K367" s="3" t="inlineStr">
        <is>
          <t>ASSUMP_CLUSTER_RAMP; ASSUMP_CLOSED_MODEL_BAND; ASSUMP_NUMERIC_ACCELERATOR_MIX; ASSUMP_INFERENCE_SHARE_NOT_FACT_60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1295242876800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472763650032000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568432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h200_share*h200_reference + b200_share*b200_reference + gb200_share*gb200_reference + purpose_built_share*purpose_built_reference</t>
        </is>
      </c>
      <c r="I382" s="3" t="inlineStr">
        <is>
          <t>Selected InferenceX proxy model: gptoss120b. Each GPU-generation reference is public benchmark input or documented B200 placeholder, not measured company production throughput.</t>
        </is>
      </c>
      <c r="J382" s="3" t="inlineStr">
        <is>
          <t>SRC_SEMIANALYSIS_INFERENCEX; ASSUMP_NUMERIC_ACCELERATOR_MIX</t>
        </is>
      </c>
      <c r="K382" s="3" t="inlineStr">
        <is>
          <t>ASSUMP_CLUSTER_RAMP; ASSUMP_CLOSED_MODEL_BAND; ASSUMP_NUMERIC_ACCELERATOR_MIX; ASSUMP_INFERENCE_SHARE_NOT_FACT_60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Closed-model, reasoning, long-context and SLO mismatch is made explicit rather than hiding it in the benchmark.</t>
        </is>
      </c>
      <c r="J383" s="3" t="inlineStr">
        <is>
          <t>SRC_SEMIANALYSIS_INFERENCEX; ASSUMP_NUMERIC_ACCELERATOR_MIX</t>
        </is>
      </c>
      <c r="K383" s="3" t="inlineStr">
        <is>
          <t>ASSUMP_CLUSTER_RAMP; ASSUMP_CLOSED_MODEL_BAND; ASSUMP_NUMERIC_ACCELERATOR_MIX; ASSUMP_INFERENCE_SHARE_NOT_FACT_60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198951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it is intentionally below the raw public reference unless the commercial workload is closely matched.</t>
        </is>
      </c>
      <c r="J384" s="3" t="inlineStr">
        <is>
          <t>SRC_SEMIANALYSIS_INFERENCEX; ASSUMP_NUMERIC_ACCELERATOR_MIX</t>
        </is>
      </c>
      <c r="K384" s="3" t="inlineStr">
        <is>
          <t>ASSUMP_CLUSTER_RAMP; ASSUMP_CLOSED_MODEL_BAND; ASSUMP_NUMERIC_ACCELERATOR_MIX; ASSUMP_INFERENCE_SHARE_NOT_FACT_60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253210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198951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90" s="3" t="inlineStr">
        <is>
          <t>SRC_XAI_MODELS; SRC_XAI_NVIDIA_COLOSSUS; SRC_SEMIANALYSIS_INFERENCEX; ASSUMP_NUMERIC_ACCELERATOR_MIX</t>
        </is>
      </c>
      <c r="K390" s="3" t="inlineStr">
        <is>
          <t>ASSUMP_CLUSTER_RAMP; ASSUMP_CLOSED_MODEL_BAND; ASSUMP_NUMERIC_ACCELERATOR_MIX; ASSUMP_INFERENCE_SHARE_NOT_FACT_60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4005122371200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1461869665488000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608428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h200_share*h200_reference + b200_share*b200_reference + gb200_share*gb200_reference + purpose_built_share*purpose_built_reference</t>
        </is>
      </c>
      <c r="I405" s="3" t="inlineStr">
        <is>
          <t>Selected InferenceX proxy model: gptoss120b. Each GPU-generation reference is public benchmark input or documented B200 placeholder, not measured company production throughput.</t>
        </is>
      </c>
      <c r="J405" s="3" t="inlineStr">
        <is>
          <t>SRC_SEMIANALYSIS_INFERENCEX; ASSUMP_NUMERIC_ACCELERATOR_MIX</t>
        </is>
      </c>
      <c r="K405" s="3" t="inlineStr">
        <is>
          <t>ASSUMP_CLUSTER_RAMP; ASSUMP_CLOSED_MODEL_BAND; ASSUMP_NUMERIC_ACCELERATOR_MIX; ASSUMP_INFERENCE_SHARE_NOT_FACT_60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Closed-model, reasoning, long-context and SLO mismatch is made explicit rather than hiding it in the benchmark.</t>
        </is>
      </c>
      <c r="J406" s="3" t="inlineStr">
        <is>
          <t>SRC_SEMIANALYSIS_INFERENCEX; ASSUMP_NUMERIC_ACCELERATOR_MIX</t>
        </is>
      </c>
      <c r="K406" s="3" t="inlineStr">
        <is>
          <t>ASSUMP_CLUSTER_RAMP; ASSUMP_CLOSED_MODEL_BAND; ASSUMP_NUMERIC_ACCELERATOR_MIX; ASSUMP_INFERENCE_SHARE_NOT_FACT_60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212950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it is intentionally below the raw public reference unless the commercial workload is closely matched.</t>
        </is>
      </c>
      <c r="J407" s="3" t="inlineStr">
        <is>
          <t>SRC_SEMIANALYSIS_INFERENCEX; ASSUMP_NUMERIC_ACCELERATOR_MIX</t>
        </is>
      </c>
      <c r="K407" s="3" t="inlineStr">
        <is>
          <t>ASSUMP_CLUSTER_RAMP; ASSUMP_CLOSED_MODEL_BAND; ASSUMP_NUMERIC_ACCELERATOR_MIX; ASSUMP_INFERENCE_SHARE_NOT_FACT_60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253210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212950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413" s="3" t="inlineStr">
        <is>
          <t>SRC_XAI_MODELS; SRC_XAI_NVIDIA_COLOSSUS; SRC_SEMIANALYSIS_INFERENCEX; ASSUMP_NUMERIC_ACCELERATOR_MIX</t>
        </is>
      </c>
      <c r="K413" s="3" t="inlineStr">
        <is>
          <t>ASSUMP_CLUSTER_RAMP; ASSUMP_CLOSED_MODEL_BAND; ASSUMP_NUMERIC_ACCELERATOR_MIX; ASSUMP_INFERENCE_SHARE_NOT_FACT_60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7617136320000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2780254756800000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648069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h200_share*h200_reference + b200_share*b200_reference + gb200_share*gb200_reference + purpose_built_share*purpose_built_reference</t>
        </is>
      </c>
      <c r="I428" s="3" t="inlineStr">
        <is>
          <t>Selected InferenceX proxy model: gptoss120b. Each GPU-generation reference is public benchmark input or documented B200 placeholder, not measured company production throughput.</t>
        </is>
      </c>
      <c r="J428" s="3" t="inlineStr">
        <is>
          <t>SRC_SEMIANALYSIS_INFERENCEX; ASSUMP_NUMERIC_ACCELERATOR_MIX</t>
        </is>
      </c>
      <c r="K428" s="3" t="inlineStr">
        <is>
          <t>ASSUMP_CLUSTER_RAMP; ASSUMP_CLOSED_MODEL_BAND; ASSUMP_NUMERIC_ACCELERATOR_MIX; ASSUMP_INFERENCE_SHARE_NOT_FACT_60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Closed-model, reasoning, long-context and SLO mismatch is made explicit rather than hiding it in the benchmark.</t>
        </is>
      </c>
      <c r="J429" s="3" t="inlineStr">
        <is>
          <t>SRC_SEMIANALYSIS_INFERENCEX; ASSUMP_NUMERIC_ACCELERATOR_MIX</t>
        </is>
      </c>
      <c r="K429" s="3" t="inlineStr">
        <is>
          <t>ASSUMP_CLUSTER_RAMP; ASSUMP_CLOSED_MODEL_BAND; ASSUMP_NUMERIC_ACCELERATOR_MIX; ASSUMP_INFERENCE_SHARE_NOT_FACT_60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226824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it is intentionally below the raw public reference unless the commercial workload is closely matched.</t>
        </is>
      </c>
      <c r="J430" s="3" t="inlineStr">
        <is>
          <t>SRC_SEMIANALYSIS_INFERENCEX; ASSUMP_NUMERIC_ACCELERATOR_MIX</t>
        </is>
      </c>
      <c r="K430" s="3" t="inlineStr">
        <is>
          <t>ASSUMP_CLUSTER_RAMP; ASSUMP_CLOSED_MODEL_BAND; ASSUMP_NUMERIC_ACCELERATOR_MIX; ASSUMP_INFERENCE_SHARE_NOT_FACT_60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253210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226824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436" s="3" t="inlineStr">
        <is>
          <t>SRC_XAI_MODELS; SRC_XAI_NVIDIA_COLOSSUS; SRC_SEMIANALYSIS_INFERENCEX; ASSUMP_NUMERIC_ACCELERATOR_MIX</t>
        </is>
      </c>
      <c r="K436" s="3" t="inlineStr">
        <is>
          <t>ASSUMP_CLUSTER_RAMP; ASSUMP_CLOSED_MODEL_BAND; ASSUMP_NUMERIC_ACCELERATOR_MIX; ASSUMP_INFERENCE_SHARE_NOT_FACT_60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12209300812800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4456394796672000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688064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h200_share*h200_reference + b200_share*b200_reference + gb200_share*gb200_reference + purpose_built_share*purpose_built_reference</t>
        </is>
      </c>
      <c r="I451" s="3" t="inlineStr">
        <is>
          <t>Selected InferenceX proxy model: gptoss120b. Each GPU-generation reference is public benchmark input or documented B200 placeholder, not measured company production throughput.</t>
        </is>
      </c>
      <c r="J451" s="3" t="inlineStr">
        <is>
          <t>SRC_SEMIANALYSIS_INFERENCEX; ASSUMP_NUMERIC_ACCELERATOR_MIX</t>
        </is>
      </c>
      <c r="K451" s="3" t="inlineStr">
        <is>
          <t>ASSUMP_CLUSTER_RAMP; ASSUMP_CLOSED_MODEL_BAND; ASSUMP_NUMERIC_ACCELERATOR_MIX; ASSUMP_INFERENCE_SHARE_NOT_FACT_60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Closed-model, reasoning, long-context and SLO mismatch is made explicit rather than hiding it in the benchmark.</t>
        </is>
      </c>
      <c r="J452" s="3" t="inlineStr">
        <is>
          <t>SRC_SEMIANALYSIS_INFERENCEX; ASSUMP_NUMERIC_ACCELERATOR_MIX</t>
        </is>
      </c>
      <c r="K452" s="3" t="inlineStr">
        <is>
          <t>ASSUMP_CLUSTER_RAMP; ASSUMP_CLOSED_MODEL_BAND; ASSUMP_NUMERIC_ACCELERATOR_MIX; ASSUMP_INFERENCE_SHARE_NOT_FACT_60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240822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it is intentionally below the raw public reference unless the commercial workload is closely matched.</t>
        </is>
      </c>
      <c r="J453" s="3" t="inlineStr">
        <is>
          <t>SRC_SEMIANALYSIS_INFERENCEX; ASSUMP_NUMERIC_ACCELERATOR_MIX</t>
        </is>
      </c>
      <c r="K453" s="3" t="inlineStr">
        <is>
          <t>ASSUMP_CLUSTER_RAMP; ASSUMP_CLOSED_MODEL_BAND; ASSUMP_NUMERIC_ACCELERATOR_MIX; ASSUMP_INFERENCE_SHARE_NOT_FACT_60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253210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240822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459" s="3" t="inlineStr">
        <is>
          <t>SRC_XAI_MODELS; SRC_XAI_NVIDIA_COLOSSUS; SRC_SEMIANALYSIS_INFERENCEX; ASSUMP_NUMERIC_ACCELERATOR_MIX</t>
        </is>
      </c>
      <c r="K459" s="3" t="inlineStr">
        <is>
          <t>ASSUMP_CLUSTER_RAMP; ASSUMP_CLOSED_MODEL_BAND; ASSUMP_NUMERIC_ACCELERATOR_MIX; ASSUMP_INFERENCE_SHARE_NOT_FACT_60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17831616825600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6508540141344000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528791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h200_share*h200_reference + b200_share*b200_reference + gb200_share*gb200_reference + purpose_built_share*purpose_built_reference</t>
        </is>
      </c>
      <c r="I474" s="3" t="inlineStr">
        <is>
          <t>Selected InferenceX proxy model: gptoss120b. Each GPU-generation reference is public benchmark input or documented B200 placeholder, not measured company production throughput.</t>
        </is>
      </c>
      <c r="J474" s="3" t="inlineStr">
        <is>
          <t>SRC_SEMIANALYSIS_INFERENCEX; ASSUMP_NUMERIC_ACCELERATOR_MIX</t>
        </is>
      </c>
      <c r="K474" s="3" t="inlineStr">
        <is>
          <t>ASSUMP_STARGATE_RAMP; ASSUMP_MS_OPENAI_ATTRIBUTION; ASSUMP_NUMERIC_ACCELERATOR_MIX; ASSUMP_INFERENCE_SHARE_NOT_FACT_60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Closed-model, reasoning, long-context and SLO mismatch is made explicit rather than hiding it in the benchmark.</t>
        </is>
      </c>
      <c r="J475" s="3" t="inlineStr">
        <is>
          <t>SRC_SEMIANALYSIS_INFERENCEX; ASSUMP_NUMERIC_ACCELERATOR_MIX</t>
        </is>
      </c>
      <c r="K475" s="3" t="inlineStr">
        <is>
          <t>ASSUMP_STARGATE_RAMP; ASSUMP_MS_OPENAI_ATTRIBUTION; ASSUMP_NUMERIC_ACCELERATOR_MIX; ASSUMP_INFERENCE_SHARE_NOT_FACT_60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158637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it is intentionally below the raw public reference unless the commercial workload is closely matched.</t>
        </is>
      </c>
      <c r="J476" s="3" t="inlineStr">
        <is>
          <t>SRC_SEMIANALYSIS_INFERENCEX; ASSUMP_NUMERIC_ACCELERATOR_MIX</t>
        </is>
      </c>
      <c r="K476" s="3" t="inlineStr">
        <is>
          <t>ASSUMP_STARGATE_RAMP; ASSUMP_MS_OPENAI_ATTRIBUTION; ASSUMP_NUMERIC_ACCELERATOR_MIX; ASSUMP_INFERENCE_SHARE_NOT_FACT_60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217037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158637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482" s="3" t="inlineStr">
        <is>
          <t>SRC_OPENAI_GPT41_DOCS; SRC_OPENAI_STARGATE_ORACLE; SRC_OPENAI_STARGATE_PROGRESS; SRC_SEMIANALYSIS_INFERENCEX; ASSUMP_NUMERIC_ACCELERATOR_MIX</t>
        </is>
      </c>
      <c r="K482" s="3" t="inlineStr">
        <is>
          <t>ASSUMP_STARGATE_RAMP; ASSUMP_MS_OPENAI_ATTRIBUTION; ASSUMP_NUMERIC_ACCELERATOR_MIX; ASSUMP_INFERENCE_SHARE_NOT_FACT_60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6332281401600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2311282711584000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568432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h200_share*h200_reference + b200_share*b200_reference + gb200_share*gb200_reference + purpose_built_share*purpose_built_reference</t>
        </is>
      </c>
      <c r="I497" s="3" t="inlineStr">
        <is>
          <t>Selected InferenceX proxy model: gptoss120b. Each GPU-generation reference is public benchmark input or documented B200 placeholder, not measured company production throughput.</t>
        </is>
      </c>
      <c r="J497" s="3" t="inlineStr">
        <is>
          <t>SRC_SEMIANALYSIS_INFERENCEX; ASSUMP_NUMERIC_ACCELERATOR_MIX</t>
        </is>
      </c>
      <c r="K497" s="3" t="inlineStr">
        <is>
          <t>ASSUMP_STARGATE_RAMP; ASSUMP_MS_OPENAI_ATTRIBUTION; ASSUMP_NUMERIC_ACCELERATOR_MIX; ASSUMP_INFERENCE_SHARE_NOT_FACT_60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Closed-model, reasoning, long-context and SLO mismatch is made explicit rather than hiding it in the benchmark.</t>
        </is>
      </c>
      <c r="J498" s="3" t="inlineStr">
        <is>
          <t>SRC_SEMIANALYSIS_INFERENCEX; ASSUMP_NUMERIC_ACCELERATOR_MIX</t>
        </is>
      </c>
      <c r="K498" s="3" t="inlineStr">
        <is>
          <t>ASSUMP_STARGATE_RAMP; ASSUMP_MS_OPENAI_ATTRIBUTION; ASSUMP_NUMERIC_ACCELERATOR_MIX; ASSUMP_INFERENCE_SHARE_NOT_FACT_60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170530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it is intentionally below the raw public reference unless the commercial workload is closely matched.</t>
        </is>
      </c>
      <c r="J499" s="3" t="inlineStr">
        <is>
          <t>SRC_SEMIANALYSIS_INFERENCEX; ASSUMP_NUMERIC_ACCELERATOR_MIX</t>
        </is>
      </c>
      <c r="K499" s="3" t="inlineStr">
        <is>
          <t>ASSUMP_STARGATE_RAMP; ASSUMP_MS_OPENAI_ATTRIBUTION; ASSUMP_NUMERIC_ACCELERATOR_MIX; ASSUMP_INFERENCE_SHARE_NOT_FACT_60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217037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170530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505" s="3" t="inlineStr">
        <is>
          <t>SRC_OPENAI_GPT41_DOCS; SRC_OPENAI_STARGATE_ORACLE; SRC_OPENAI_STARGATE_PROGRESS; SRC_SEMIANALYSIS_INFERENCEX; ASSUMP_NUMERIC_ACCELERATOR_MIX</t>
        </is>
      </c>
      <c r="K505" s="3" t="inlineStr">
        <is>
          <t>ASSUMP_STARGATE_RAMP; ASSUMP_MS_OPENAI_ATTRIBUTION; ASSUMP_NUMERIC_ACCELERATOR_MIX; ASSUMP_INFERENCE_SHARE_NOT_FACT_60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16457645664000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6007040667360000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608428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h200_share*h200_reference + b200_share*b200_reference + gb200_share*gb200_reference + purpose_built_share*purpose_built_reference</t>
        </is>
      </c>
      <c r="I520" s="3" t="inlineStr">
        <is>
          <t>Selected InferenceX proxy model: gptoss120b. Each GPU-generation reference is public benchmark input or documented B200 placeholder, not measured company production throughput.</t>
        </is>
      </c>
      <c r="J520" s="3" t="inlineStr">
        <is>
          <t>SRC_SEMIANALYSIS_INFERENCEX; ASSUMP_NUMERIC_ACCELERATOR_MIX</t>
        </is>
      </c>
      <c r="K520" s="3" t="inlineStr">
        <is>
          <t>ASSUMP_STARGATE_RAMP; ASSUMP_MS_OPENAI_ATTRIBUTION; ASSUMP_NUMERIC_ACCELERATOR_MIX; ASSUMP_INFERENCE_SHARE_NOT_FACT_60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Closed-model, reasoning, long-context and SLO mismatch is made explicit rather than hiding it in the benchmark.</t>
        </is>
      </c>
      <c r="J521" s="3" t="inlineStr">
        <is>
          <t>SRC_SEMIANALYSIS_INFERENCEX; ASSUMP_NUMERIC_ACCELERATOR_MIX</t>
        </is>
      </c>
      <c r="K521" s="3" t="inlineStr">
        <is>
          <t>ASSUMP_STARGATE_RAMP; ASSUMP_MS_OPENAI_ATTRIBUTION; ASSUMP_NUMERIC_ACCELERATOR_MIX; ASSUMP_INFERENCE_SHARE_NOT_FACT_60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182528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it is intentionally below the raw public reference unless the commercial workload is closely matched.</t>
        </is>
      </c>
      <c r="J522" s="3" t="inlineStr">
        <is>
          <t>SRC_SEMIANALYSIS_INFERENCEX; ASSUMP_NUMERIC_ACCELERATOR_MIX</t>
        </is>
      </c>
      <c r="K522" s="3" t="inlineStr">
        <is>
          <t>ASSUMP_STARGATE_RAMP; ASSUMP_MS_OPENAI_ATTRIBUTION; ASSUMP_NUMERIC_ACCELERATOR_MIX; ASSUMP_INFERENCE_SHARE_NOT_FACT_60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217037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182528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528" s="3" t="inlineStr">
        <is>
          <t>SRC_OPENAI_GPT41_DOCS; SRC_OPENAI_STARGATE_ORACLE; SRC_OPENAI_STARGATE_PROGRESS; SRC_SEMIANALYSIS_INFERENCEX; ASSUMP_NUMERIC_ACCELERATOR_MIX</t>
        </is>
      </c>
      <c r="K528" s="3" t="inlineStr">
        <is>
          <t>ASSUMP_STARGATE_RAMP; ASSUMP_MS_OPENAI_ATTRIBUTION; ASSUMP_NUMERIC_ACCELERATOR_MIX; ASSUMP_INFERENCE_SHARE_NOT_FACT_60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29049112166400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1.0602925940736e+16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648069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h200_share*h200_reference + b200_share*b200_reference + gb200_share*gb200_reference + purpose_built_share*purpose_built_reference</t>
        </is>
      </c>
      <c r="I543" s="3" t="inlineStr">
        <is>
          <t>Selected InferenceX proxy model: gptoss120b. Each GPU-generation reference is public benchmark input or documented B200 placeholder, not measured company production throughput.</t>
        </is>
      </c>
      <c r="J543" s="3" t="inlineStr">
        <is>
          <t>SRC_SEMIANALYSIS_INFERENCEX; ASSUMP_NUMERIC_ACCELERATOR_MIX</t>
        </is>
      </c>
      <c r="K543" s="3" t="inlineStr">
        <is>
          <t>ASSUMP_STARGATE_RAMP; ASSUMP_MS_OPENAI_ATTRIBUTION; ASSUMP_NUMERIC_ACCELERATOR_MIX; ASSUMP_INFERENCE_SHARE_NOT_FACT_60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Closed-model, reasoning, long-context and SLO mismatch is made explicit rather than hiding it in the benchmark.</t>
        </is>
      </c>
      <c r="J544" s="3" t="inlineStr">
        <is>
          <t>SRC_SEMIANALYSIS_INFERENCEX; ASSUMP_NUMERIC_ACCELERATOR_MIX</t>
        </is>
      </c>
      <c r="K544" s="3" t="inlineStr">
        <is>
          <t>ASSUMP_STARGATE_RAMP; ASSUMP_MS_OPENAI_ATTRIBUTION; ASSUMP_NUMERIC_ACCELERATOR_MIX; ASSUMP_INFERENCE_SHARE_NOT_FACT_60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194421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it is intentionally below the raw public reference unless the commercial workload is closely matched.</t>
        </is>
      </c>
      <c r="J545" s="3" t="inlineStr">
        <is>
          <t>SRC_SEMIANALYSIS_INFERENCEX; ASSUMP_NUMERIC_ACCELERATOR_MIX</t>
        </is>
      </c>
      <c r="K545" s="3" t="inlineStr">
        <is>
          <t>ASSUMP_STARGATE_RAMP; ASSUMP_MS_OPENAI_ATTRIBUTION; ASSUMP_NUMERIC_ACCELERATOR_MIX; ASSUMP_INFERENCE_SHARE_NOT_FACT_60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217037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194421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551" s="3" t="inlineStr">
        <is>
          <t>SRC_OPENAI_GPT41_DOCS; SRC_OPENAI_STARGATE_ORACLE; SRC_OPENAI_STARGATE_PROGRESS; SRC_SEMIANALYSIS_INFERENCEX; ASSUMP_NUMERIC_ACCELERATOR_MIX</t>
        </is>
      </c>
      <c r="K551" s="3" t="inlineStr">
        <is>
          <t>ASSUMP_STARGATE_RAMP; ASSUMP_MS_OPENAI_ATTRIBUTION; ASSUMP_NUMERIC_ACCELERATOR_MIX; ASSUMP_INFERENCE_SHARE_NOT_FACT_60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44195470646400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1.6131346785936e+16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688064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h200_share*h200_reference + b200_share*b200_reference + gb200_share*gb200_reference + purpose_built_share*purpose_built_reference</t>
        </is>
      </c>
      <c r="I566" s="3" t="inlineStr">
        <is>
          <t>Selected InferenceX proxy model: gptoss120b. Each GPU-generation reference is public benchmark input or documented B200 placeholder, not measured company production throughput.</t>
        </is>
      </c>
      <c r="J566" s="3" t="inlineStr">
        <is>
          <t>SRC_SEMIANALYSIS_INFERENCEX; ASSUMP_NUMERIC_ACCELERATOR_MIX</t>
        </is>
      </c>
      <c r="K566" s="3" t="inlineStr">
        <is>
          <t>ASSUMP_STARGATE_RAMP; ASSUMP_MS_OPENAI_ATTRIBUTION; ASSUMP_NUMERIC_ACCELERATOR_MIX; ASSUMP_INFERENCE_SHARE_NOT_FACT_60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Closed-model, reasoning, long-context and SLO mismatch is made explicit rather than hiding it in the benchmark.</t>
        </is>
      </c>
      <c r="J567" s="3" t="inlineStr">
        <is>
          <t>SRC_SEMIANALYSIS_INFERENCEX; ASSUMP_NUMERIC_ACCELERATOR_MIX</t>
        </is>
      </c>
      <c r="K567" s="3" t="inlineStr">
        <is>
          <t>ASSUMP_STARGATE_RAMP; ASSUMP_MS_OPENAI_ATTRIBUTION; ASSUMP_NUMERIC_ACCELERATOR_MIX; ASSUMP_INFERENCE_SHARE_NOT_FACT_60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206419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it is intentionally below the raw public reference unless the commercial workload is closely matched.</t>
        </is>
      </c>
      <c r="J568" s="3" t="inlineStr">
        <is>
          <t>SRC_SEMIANALYSIS_INFERENCEX; ASSUMP_NUMERIC_ACCELERATOR_MIX</t>
        </is>
      </c>
      <c r="K568" s="3" t="inlineStr">
        <is>
          <t>ASSUMP_STARGATE_RAMP; ASSUMP_MS_OPENAI_ATTRIBUTION; ASSUMP_NUMERIC_ACCELERATOR_MIX; ASSUMP_INFERENCE_SHARE_NOT_FACT_60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217037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206419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574" s="3" t="inlineStr">
        <is>
          <t>SRC_OPENAI_GPT41_DOCS; SRC_OPENAI_STARGATE_ORACLE; SRC_OPENAI_STARGATE_PROGRESS; SRC_SEMIANALYSIS_INFERENCEX; ASSUMP_NUMERIC_ACCELERATOR_MIX</t>
        </is>
      </c>
      <c r="K574" s="3" t="inlineStr">
        <is>
          <t>ASSUMP_STARGATE_RAMP; ASSUMP_MS_OPENAI_ATTRIBUTION; ASSUMP_NUMERIC_ACCELERATOR_MIX; ASSUMP_INFERENCE_SHARE_NOT_FACT_60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61993075161600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2.2627472433984e+16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655148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h200_share*h200_reference + b200_share*b200_reference + gb200_share*gb200_reference + purpose_built_share*purpose_built_reference</t>
        </is>
      </c>
      <c r="I589" s="3" t="inlineStr">
        <is>
          <t>Selected InferenceX proxy model: gptoss120b. Each GPU-generation reference is public benchmark input or documented B200 placeholder, not measured company production throughput.</t>
        </is>
      </c>
      <c r="J589" s="3" t="inlineStr">
        <is>
          <t>SRC_SEMIANALYSIS_INFERENCEX; ASSUMP_NUMERIC_ACCELERATOR_MIX</t>
        </is>
      </c>
      <c r="K589" s="3" t="inlineStr">
        <is>
          <t>ASSUMP_POWER_RAMP; ASSUMP_CLOSED_MODEL_BAND; ASSUMP_NUMERIC_ACCELERATOR_MIX; ASSUMP_INFERENCE_SHARE_NOT_FACT_60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590" s="3" t="inlineStr">
        <is>
          <t>SRC_SEMIANALYSIS_INFERENCEX; ASSUMP_NUMERIC_ACCELERATOR_MIX</t>
        </is>
      </c>
      <c r="K590" s="3" t="inlineStr">
        <is>
          <t>ASSUMP_POWER_RAMP; ASSUMP_CLOSED_MODEL_BAND; ASSUMP_NUMERIC_ACCELERATOR_MIX; ASSUMP_INFERENCE_SHARE_NOT_FACT_60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196544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it is intentionally below the raw public reference unless the commercial workload is closely matched.</t>
        </is>
      </c>
      <c r="J591" s="3" t="inlineStr">
        <is>
          <t>SRC_SEMIANALYSIS_INFERENCEX; ASSUMP_NUMERIC_ACCELERATOR_MIX</t>
        </is>
      </c>
      <c r="K591" s="3" t="inlineStr">
        <is>
          <t>ASSUMP_POWER_RAMP; ASSUMP_CLOSED_MODEL_BAND; ASSUMP_NUMERIC_ACCELERATOR_MIX; ASSUMP_INFERENCE_SHARE_NOT_FACT_60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217037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196544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597" s="3" t="inlineStr">
        <is>
          <t>SRC_ANTHROPIC_CLAUDE_DOCS; SRC_ANTHROPIC_AMAZON_COMPUTE; SRC_AWS_RAINIER_ACTIVE; SRC_SEMIANALYSIS_INFERENCEX; ASSUMP_NUMERIC_ACCELERATOR_MIX</t>
        </is>
      </c>
      <c r="K597" s="3" t="inlineStr">
        <is>
          <t>ASSUMP_POWER_RAMP; ASSUMP_CLOSED_MODEL_BAND; ASSUMP_NUMERIC_ACCELERATOR_MIX; ASSUMP_INFERENCE_SHARE_NOT_FACT_60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4907625062400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1791283147776000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677092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h200_share*h200_reference + b200_share*b200_reference + gb200_share*gb200_reference + purpose_built_share*purpose_built_reference</t>
        </is>
      </c>
      <c r="I612" s="3" t="inlineStr">
        <is>
          <t>Selected InferenceX proxy model: gptoss120b. Each GPU-generation reference is public benchmark input or documented B200 placeholder, not measured company production throughput.</t>
        </is>
      </c>
      <c r="J612" s="3" t="inlineStr">
        <is>
          <t>SRC_SEMIANALYSIS_INFERENCEX; ASSUMP_NUMERIC_ACCELERATOR_MIX</t>
        </is>
      </c>
      <c r="K612" s="3" t="inlineStr">
        <is>
          <t>ASSUMP_POWER_RAMP; ASSUMP_CLOSED_MODEL_BAND; ASSUMP_NUMERIC_ACCELERATOR_MIX; ASSUMP_INFERENCE_SHARE_NOT_FACT_60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613" s="3" t="inlineStr">
        <is>
          <t>SRC_SEMIANALYSIS_INFERENCEX; ASSUMP_NUMERIC_ACCELERATOR_MIX</t>
        </is>
      </c>
      <c r="K613" s="3" t="inlineStr">
        <is>
          <t>ASSUMP_POWER_RAMP; ASSUMP_CLOSED_MODEL_BAND; ASSUMP_NUMERIC_ACCELERATOR_MIX; ASSUMP_INFERENCE_SHARE_NOT_FACT_60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203128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it is intentionally below the raw public reference unless the commercial workload is closely matched.</t>
        </is>
      </c>
      <c r="J614" s="3" t="inlineStr">
        <is>
          <t>SRC_SEMIANALYSIS_INFERENCEX; ASSUMP_NUMERIC_ACCELERATOR_MIX</t>
        </is>
      </c>
      <c r="K614" s="3" t="inlineStr">
        <is>
          <t>ASSUMP_POWER_RAMP; ASSUMP_CLOSED_MODEL_BAND; ASSUMP_NUMERIC_ACCELERATOR_MIX; ASSUMP_INFERENCE_SHARE_NOT_FACT_60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217037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203128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620" s="3" t="inlineStr">
        <is>
          <t>SRC_ANTHROPIC_CLAUDE_DOCS; SRC_ANTHROPIC_AMAZON_COMPUTE; SRC_AWS_RAINIER_ACTIVE; SRC_SEMIANALYSIS_INFERENCEX; ASSUMP_NUMERIC_ACCELERATOR_MIX</t>
        </is>
      </c>
      <c r="K620" s="3" t="inlineStr">
        <is>
          <t>ASSUMP_POWER_RAMP; ASSUMP_CLOSED_MODEL_BAND; ASSUMP_NUMERIC_ACCELERATOR_MIX; ASSUMP_INFERENCE_SHARE_NOT_FACT_60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11723573145600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4279104198144000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694789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h200_share*h200_reference + b200_share*b200_reference + gb200_share*gb200_reference + purpose_built_share*purpose_built_reference</t>
        </is>
      </c>
      <c r="I635" s="3" t="inlineStr">
        <is>
          <t>Selected InferenceX proxy model: gptoss120b. Each GPU-generation reference is public benchmark input or documented B200 placeholder, not measured company production throughput.</t>
        </is>
      </c>
      <c r="J635" s="3" t="inlineStr">
        <is>
          <t>SRC_SEMIANALYSIS_INFERENCEX; ASSUMP_NUMERIC_ACCELERATOR_MIX</t>
        </is>
      </c>
      <c r="K635" s="3" t="inlineStr">
        <is>
          <t>ASSUMP_POWER_RAMP; ASSUMP_CLOSED_MODEL_BAND; ASSUMP_NUMERIC_ACCELERATOR_MIX; ASSUMP_INFERENCE_SHARE_NOT_FACT_60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636" s="3" t="inlineStr">
        <is>
          <t>SRC_SEMIANALYSIS_INFERENCEX; ASSUMP_NUMERIC_ACCELERATOR_MIX</t>
        </is>
      </c>
      <c r="K636" s="3" t="inlineStr">
        <is>
          <t>ASSUMP_POWER_RAMP; ASSUMP_CLOSED_MODEL_BAND; ASSUMP_NUMERIC_ACCELERATOR_MIX; ASSUMP_INFERENCE_SHARE_NOT_FACT_60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208437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it is intentionally below the raw public reference unless the commercial workload is closely matched.</t>
        </is>
      </c>
      <c r="J637" s="3" t="inlineStr">
        <is>
          <t>SRC_SEMIANALYSIS_INFERENCEX; ASSUMP_NUMERIC_ACCELERATOR_MIX</t>
        </is>
      </c>
      <c r="K637" s="3" t="inlineStr">
        <is>
          <t>ASSUMP_POWER_RAMP; ASSUMP_CLOSED_MODEL_BAND; ASSUMP_NUMERIC_ACCELERATOR_MIX; ASSUMP_INFERENCE_SHARE_NOT_FACT_60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217037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208437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643" s="3" t="inlineStr">
        <is>
          <t>SRC_ANTHROPIC_CLAUDE_DOCS; SRC_ANTHROPIC_AMAZON_COMPUTE; SRC_AWS_RAINIER_ACTIVE; SRC_SEMIANALYSIS_INFERENCEX; ASSUMP_NUMERIC_ACCELERATOR_MIX</t>
        </is>
      </c>
      <c r="K643" s="3" t="inlineStr">
        <is>
          <t>ASSUMP_POWER_RAMP; ASSUMP_CLOSED_MODEL_BAND; ASSUMP_NUMERIC_ACCELERATOR_MIX; ASSUMP_INFERENCE_SHARE_NOT_FACT_60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19809852480000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7230596155200000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708239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h200_share*h200_reference + b200_share*b200_reference + gb200_share*gb200_reference + purpose_built_share*purpose_built_reference</t>
        </is>
      </c>
      <c r="I658" s="3" t="inlineStr">
        <is>
          <t>Selected InferenceX proxy model: gptoss120b. Each GPU-generation reference is public benchmark input or documented B200 placeholder, not measured company production throughput.</t>
        </is>
      </c>
      <c r="J658" s="3" t="inlineStr">
        <is>
          <t>SRC_SEMIANALYSIS_INFERENCEX; ASSUMP_NUMERIC_ACCELERATOR_MIX</t>
        </is>
      </c>
      <c r="K658" s="3" t="inlineStr">
        <is>
          <t>ASSUMP_POWER_RAMP; ASSUMP_CLOSED_MODEL_BAND; ASSUMP_NUMERIC_ACCELERATOR_MIX; ASSUMP_INFERENCE_SHARE_NOT_FACT_60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659" s="3" t="inlineStr">
        <is>
          <t>SRC_SEMIANALYSIS_INFERENCEX; ASSUMP_NUMERIC_ACCELERATOR_MIX</t>
        </is>
      </c>
      <c r="K659" s="3" t="inlineStr">
        <is>
          <t>ASSUMP_POWER_RAMP; ASSUMP_CLOSED_MODEL_BAND; ASSUMP_NUMERIC_ACCELERATOR_MIX; ASSUMP_INFERENCE_SHARE_NOT_FACT_60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212472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it is intentionally below the raw public reference unless the commercial workload is closely matched.</t>
        </is>
      </c>
      <c r="J660" s="3" t="inlineStr">
        <is>
          <t>SRC_SEMIANALYSIS_INFERENCEX; ASSUMP_NUMERIC_ACCELERATOR_MIX</t>
        </is>
      </c>
      <c r="K660" s="3" t="inlineStr">
        <is>
          <t>ASSUMP_POWER_RAMP; ASSUMP_CLOSED_MODEL_BAND; ASSUMP_NUMERIC_ACCELERATOR_MIX; ASSUMP_INFERENCE_SHARE_NOT_FACT_60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217037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212472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666" s="3" t="inlineStr">
        <is>
          <t>SRC_ANTHROPIC_CLAUDE_DOCS; SRC_ANTHROPIC_AMAZON_COMPUTE; SRC_AWS_RAINIER_ACTIVE; SRC_SEMIANALYSIS_INFERENCEX; ASSUMP_NUMERIC_ACCELERATOR_MIX</t>
        </is>
      </c>
      <c r="K666" s="3" t="inlineStr">
        <is>
          <t>ASSUMP_POWER_RAMP; ASSUMP_CLOSED_MODEL_BAND; ASSUMP_NUMERIC_ACCELERATOR_MIX; ASSUMP_INFERENCE_SHARE_NOT_FACT_60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29004977664000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1.058681684736e+16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718149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h200_share*h200_reference + b200_share*b200_reference + gb200_share*gb200_reference + purpose_built_share*purpose_built_reference</t>
        </is>
      </c>
      <c r="I681" s="3" t="inlineStr">
        <is>
          <t>Selected InferenceX proxy model: gptoss120b. Each GPU-generation reference is public benchmark input or documented B200 placeholder, not measured company production throughput.</t>
        </is>
      </c>
      <c r="J681" s="3" t="inlineStr">
        <is>
          <t>SRC_SEMIANALYSIS_INFERENCEX; ASSUMP_NUMERIC_ACCELERATOR_MIX</t>
        </is>
      </c>
      <c r="K681" s="3" t="inlineStr">
        <is>
          <t>ASSUMP_POWER_RAMP; ASSUMP_CLOSED_MODEL_BAND; ASSUMP_NUMERIC_ACCELERATOR_MIX; ASSUMP_INFERENCE_SHARE_NOT_FACT_60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682" s="3" t="inlineStr">
        <is>
          <t>SRC_SEMIANALYSIS_INFERENCEX; ASSUMP_NUMERIC_ACCELERATOR_MIX</t>
        </is>
      </c>
      <c r="K682" s="3" t="inlineStr">
        <is>
          <t>ASSUMP_POWER_RAMP; ASSUMP_CLOSED_MODEL_BAND; ASSUMP_NUMERIC_ACCELERATOR_MIX; ASSUMP_INFERENCE_SHARE_NOT_FACT_60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215445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it is intentionally below the raw public reference unless the commercial workload is closely matched.</t>
        </is>
      </c>
      <c r="J683" s="3" t="inlineStr">
        <is>
          <t>SRC_SEMIANALYSIS_INFERENCEX; ASSUMP_NUMERIC_ACCELERATOR_MIX</t>
        </is>
      </c>
      <c r="K683" s="3" t="inlineStr">
        <is>
          <t>ASSUMP_POWER_RAMP; ASSUMP_CLOSED_MODEL_BAND; ASSUMP_NUMERIC_ACCELERATOR_MIX; ASSUMP_INFERENCE_SHARE_NOT_FACT_60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217037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215445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689" s="3" t="inlineStr">
        <is>
          <t>SRC_ANTHROPIC_CLAUDE_DOCS; SRC_ANTHROPIC_AMAZON_COMPUTE; SRC_AWS_RAINIER_ACTIVE; SRC_SEMIANALYSIS_INFERENCEX; ASSUMP_NUMERIC_ACCELERATOR_MIX</t>
        </is>
      </c>
      <c r="K689" s="3" t="inlineStr">
        <is>
          <t>ASSUMP_POWER_RAMP; ASSUMP_CLOSED_MODEL_BAND; ASSUMP_NUMERIC_ACCELERATOR_MIX; ASSUMP_INFERENCE_SHARE_NOT_FACT_60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39164798592000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1.429515148608e+16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63732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h200_share*h200_reference + b200_share*b200_reference + gb200_share*gb200_reference + purpose_built_share*purpose_built_reference</t>
        </is>
      </c>
      <c r="I704" s="3" t="inlineStr">
        <is>
          <t>Selected InferenceX proxy model: dsr1. Each GPU-generation reference is public benchmark input or documented B200 placeholder, not measured company production throughput.</t>
        </is>
      </c>
      <c r="J704" s="3" t="inlineStr">
        <is>
          <t>SRC_SEMIANALYSIS_INFERENCEX; ASSUMP_NUMERIC_ACCELERATOR_MIX</t>
        </is>
      </c>
      <c r="K704" s="3" t="inlineStr">
        <is>
          <t>ASSUMP_MOE_EFFICIENCY; ASSUMP_CN_CAPACITY_TRANSPARENCY; ASSUMP_NUMERIC_ACCELERATOR_MIX; ASSUMP_INFERENCE_SHARE_NOT_FACT_60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Closed-model, reasoning, long-context and SLO mismatch is made explicit rather than hiding it in the benchmark.</t>
        </is>
      </c>
      <c r="J705" s="3" t="inlineStr">
        <is>
          <t>SRC_SEMIANALYSIS_INFERENCEX; ASSUMP_NUMERIC_ACCELERATOR_MIX</t>
        </is>
      </c>
      <c r="K705" s="3" t="inlineStr">
        <is>
          <t>ASSUMP_MOE_EFFICIENCY; ASSUMP_CN_CAPACITY_TRANSPARENCY; ASSUMP_NUMERIC_ACCELERATOR_MIX; ASSUMP_INFERENCE_SHARE_NOT_FACT_60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41426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it is intentionally below the raw public reference unless the commercial workload is closely matched.</t>
        </is>
      </c>
      <c r="J706" s="3" t="inlineStr">
        <is>
          <t>SRC_SEMIANALYSIS_INFERENCEX; ASSUMP_NUMERIC_ACCELERATOR_MIX</t>
        </is>
      </c>
      <c r="K706" s="3" t="inlineStr">
        <is>
          <t>ASSUMP_MOE_EFFICIENCY; ASSUMP_CN_CAPACITY_TRANSPARENCY; ASSUMP_NUMERIC_ACCELERATOR_MIX; ASSUMP_INFERENCE_SHARE_NOT_FACT_60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42300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41426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712" s="3" t="inlineStr">
        <is>
          <t>SRC_DEEPSEEK_V3; SRC_DEEPSEEK_R1; SRC_DEEPSEEK_H800_INFERENCE; SRC_SEMIANALYSIS_INFERENCEX; ASSUMP_NUMERIC_ACCELERATOR_MIX</t>
        </is>
      </c>
      <c r="K712" s="3" t="inlineStr">
        <is>
          <t>ASSUMP_MOE_EFFICIENCY; ASSUMP_CN_CAPACITY_TRANSPARENCY; ASSUMP_NUMERIC_ACCELERATOR_MIX; ASSUMP_INFERENCE_SHARE_NOT_FACT_60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171801907200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62707696128000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64006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h200_share*h200_reference + b200_share*b200_reference + gb200_share*gb200_reference + purpose_built_share*purpose_built_reference</t>
        </is>
      </c>
      <c r="I727" s="3" t="inlineStr">
        <is>
          <t>Selected InferenceX proxy model: dsr1. Each GPU-generation reference is public benchmark input or documented B200 placeholder, not measured company production throughput.</t>
        </is>
      </c>
      <c r="J727" s="3" t="inlineStr">
        <is>
          <t>SRC_SEMIANALYSIS_INFERENCEX; ASSUMP_NUMERIC_ACCELERATOR_MIX</t>
        </is>
      </c>
      <c r="K727" s="3" t="inlineStr">
        <is>
          <t>ASSUMP_MOE_EFFICIENCY; ASSUMP_CN_CAPACITY_TRANSPARENCY; ASSUMP_NUMERIC_ACCELERATOR_MIX; ASSUMP_INFERENCE_SHARE_NOT_FACT_60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Closed-model, reasoning, long-context and SLO mismatch is made explicit rather than hiding it in the benchmark.</t>
        </is>
      </c>
      <c r="J728" s="3" t="inlineStr">
        <is>
          <t>SRC_SEMIANALYSIS_INFERENCEX; ASSUMP_NUMERIC_ACCELERATOR_MIX</t>
        </is>
      </c>
      <c r="K728" s="3" t="inlineStr">
        <is>
          <t>ASSUMP_MOE_EFFICIENCY; ASSUMP_CN_CAPACITY_TRANSPARENCY; ASSUMP_NUMERIC_ACCELERATOR_MIX; ASSUMP_INFERENCE_SHARE_NOT_FACT_60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41604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it is intentionally below the raw public reference unless the commercial workload is closely matched.</t>
        </is>
      </c>
      <c r="J729" s="3" t="inlineStr">
        <is>
          <t>SRC_SEMIANALYSIS_INFERENCEX; ASSUMP_NUMERIC_ACCELERATOR_MIX</t>
        </is>
      </c>
      <c r="K729" s="3" t="inlineStr">
        <is>
          <t>ASSUMP_MOE_EFFICIENCY; ASSUMP_CN_CAPACITY_TRANSPARENCY; ASSUMP_NUMERIC_ACCELERATOR_MIX; ASSUMP_INFERENCE_SHARE_NOT_FACT_60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42300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41604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735" s="3" t="inlineStr">
        <is>
          <t>SRC_DEEPSEEK_V3; SRC_DEEPSEEK_R1; SRC_DEEPSEEK_H800_INFERENCE; SRC_SEMIANALYSIS_INFERENCEX; ASSUMP_NUMERIC_ACCELERATOR_MIX</t>
        </is>
      </c>
      <c r="K735" s="3" t="inlineStr">
        <is>
          <t>ASSUMP_MOE_EFFICIENCY; ASSUMP_CN_CAPACITY_TRANSPARENCY; ASSUMP_NUMERIC_ACCELERATOR_MIX; ASSUMP_INFERENCE_SHARE_NOT_FACT_60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503241984000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183683324160000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64282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h200_share*h200_reference + b200_share*b200_reference + gb200_share*gb200_reference + purpose_built_share*purpose_built_reference</t>
        </is>
      </c>
      <c r="I750" s="3" t="inlineStr">
        <is>
          <t>Selected InferenceX proxy model: dsr1. Each GPU-generation reference is public benchmark input or documented B200 placeholder, not measured company production throughput.</t>
        </is>
      </c>
      <c r="J750" s="3" t="inlineStr">
        <is>
          <t>SRC_SEMIANALYSIS_INFERENCEX; ASSUMP_NUMERIC_ACCELERATOR_MIX</t>
        </is>
      </c>
      <c r="K750" s="3" t="inlineStr">
        <is>
          <t>ASSUMP_MOE_EFFICIENCY; ASSUMP_CN_CAPACITY_TRANSPARENCY; ASSUMP_NUMERIC_ACCELERATOR_MIX; ASSUMP_INFERENCE_SHARE_NOT_FACT_60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Closed-model, reasoning, long-context and SLO mismatch is made explicit rather than hiding it in the benchmark.</t>
        </is>
      </c>
      <c r="J751" s="3" t="inlineStr">
        <is>
          <t>SRC_SEMIANALYSIS_INFERENCEX; ASSUMP_NUMERIC_ACCELERATOR_MIX</t>
        </is>
      </c>
      <c r="K751" s="3" t="inlineStr">
        <is>
          <t>ASSUMP_MOE_EFFICIENCY; ASSUMP_CN_CAPACITY_TRANSPARENCY; ASSUMP_NUMERIC_ACCELERATOR_MIX; ASSUMP_INFERENCE_SHARE_NOT_FACT_60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41783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it is intentionally below the raw public reference unless the commercial workload is closely matched.</t>
        </is>
      </c>
      <c r="J752" s="3" t="inlineStr">
        <is>
          <t>SRC_SEMIANALYSIS_INFERENCEX; ASSUMP_NUMERIC_ACCELERATOR_MIX</t>
        </is>
      </c>
      <c r="K752" s="3" t="inlineStr">
        <is>
          <t>ASSUMP_MOE_EFFICIENCY; ASSUMP_CN_CAPACITY_TRANSPARENCY; ASSUMP_NUMERIC_ACCELERATOR_MIX; ASSUMP_INFERENCE_SHARE_NOT_FACT_60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42300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41783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758" s="3" t="inlineStr">
        <is>
          <t>SRC_DEEPSEEK_V3; SRC_DEEPSEEK_R1; SRC_DEEPSEEK_H800_INFERENCE; SRC_SEMIANALYSIS_INFERENCEX; ASSUMP_NUMERIC_ACCELERATOR_MIX</t>
        </is>
      </c>
      <c r="K758" s="3" t="inlineStr">
        <is>
          <t>ASSUMP_MOE_EFFICIENCY; ASSUMP_CN_CAPACITY_TRANSPARENCY; ASSUMP_NUMERIC_ACCELERATOR_MIX; ASSUMP_INFERENCE_SHARE_NOT_FACT_60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873632390400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318875822496000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64556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h200_share*h200_reference + b200_share*b200_reference + gb200_share*gb200_reference + purpose_built_share*purpose_built_reference</t>
        </is>
      </c>
      <c r="I773" s="3" t="inlineStr">
        <is>
          <t>Selected InferenceX proxy model: dsr1. Each GPU-generation reference is public benchmark input or documented B200 placeholder, not measured company production throughput.</t>
        </is>
      </c>
      <c r="J773" s="3" t="inlineStr">
        <is>
          <t>SRC_SEMIANALYSIS_INFERENCEX; ASSUMP_NUMERIC_ACCELERATOR_MIX</t>
        </is>
      </c>
      <c r="K773" s="3" t="inlineStr">
        <is>
          <t>ASSUMP_MOE_EFFICIENCY; ASSUMP_CN_CAPACITY_TRANSPARENCY; ASSUMP_NUMERIC_ACCELERATOR_MIX; ASSUMP_INFERENCE_SHARE_NOT_FACT_60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Closed-model, reasoning, long-context and SLO mismatch is made explicit rather than hiding it in the benchmark.</t>
        </is>
      </c>
      <c r="J774" s="3" t="inlineStr">
        <is>
          <t>SRC_SEMIANALYSIS_INFERENCEX; ASSUMP_NUMERIC_ACCELERATOR_MIX</t>
        </is>
      </c>
      <c r="K774" s="3" t="inlineStr">
        <is>
          <t>ASSUMP_MOE_EFFICIENCY; ASSUMP_CN_CAPACITY_TRANSPARENCY; ASSUMP_NUMERIC_ACCELERATOR_MIX; ASSUMP_INFERENCE_SHARE_NOT_FACT_60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41961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it is intentionally below the raw public reference unless the commercial workload is closely matched.</t>
        </is>
      </c>
      <c r="J775" s="3" t="inlineStr">
        <is>
          <t>SRC_SEMIANALYSIS_INFERENCEX; ASSUMP_NUMERIC_ACCELERATOR_MIX</t>
        </is>
      </c>
      <c r="K775" s="3" t="inlineStr">
        <is>
          <t>ASSUMP_MOE_EFFICIENCY; ASSUMP_CN_CAPACITY_TRANSPARENCY; ASSUMP_NUMERIC_ACCELERATOR_MIX; ASSUMP_INFERENCE_SHARE_NOT_FACT_60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42300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41961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781" s="3" t="inlineStr">
        <is>
          <t>SRC_DEEPSEEK_V3; SRC_DEEPSEEK_R1; SRC_DEEPSEEK_H800_INFERENCE; SRC_SEMIANALYSIS_INFERENCEX; ASSUMP_NUMERIC_ACCELERATOR_MIX</t>
        </is>
      </c>
      <c r="K781" s="3" t="inlineStr">
        <is>
          <t>ASSUMP_MOE_EFFICIENCY; ASSUMP_CN_CAPACITY_TRANSPARENCY; ASSUMP_NUMERIC_ACCELERATOR_MIX; ASSUMP_INFERENCE_SHARE_NOT_FACT_60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1276151500800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465795297792000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64832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h200_share*h200_reference + b200_share*b200_reference + gb200_share*gb200_reference + purpose_built_share*purpose_built_reference</t>
        </is>
      </c>
      <c r="I796" s="3" t="inlineStr">
        <is>
          <t>Selected InferenceX proxy model: dsr1. Each GPU-generation reference is public benchmark input or documented B200 placeholder, not measured company production throughput.</t>
        </is>
      </c>
      <c r="J796" s="3" t="inlineStr">
        <is>
          <t>SRC_SEMIANALYSIS_INFERENCEX; ASSUMP_NUMERIC_ACCELERATOR_MIX</t>
        </is>
      </c>
      <c r="K796" s="3" t="inlineStr">
        <is>
          <t>ASSUMP_MOE_EFFICIENCY; ASSUMP_CN_CAPACITY_TRANSPARENCY; ASSUMP_NUMERIC_ACCELERATOR_MIX; ASSUMP_INFERENCE_SHARE_NOT_FACT_60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Closed-model, reasoning, long-context and SLO mismatch is made explicit rather than hiding it in the benchmark.</t>
        </is>
      </c>
      <c r="J797" s="3" t="inlineStr">
        <is>
          <t>SRC_SEMIANALYSIS_INFERENCEX; ASSUMP_NUMERIC_ACCELERATOR_MIX</t>
        </is>
      </c>
      <c r="K797" s="3" t="inlineStr">
        <is>
          <t>ASSUMP_MOE_EFFICIENCY; ASSUMP_CN_CAPACITY_TRANSPARENCY; ASSUMP_NUMERIC_ACCELERATOR_MIX; ASSUMP_INFERENCE_SHARE_NOT_FACT_60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42141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it is intentionally below the raw public reference unless the commercial workload is closely matched.</t>
        </is>
      </c>
      <c r="J798" s="3" t="inlineStr">
        <is>
          <t>SRC_SEMIANALYSIS_INFERENCEX; ASSUMP_NUMERIC_ACCELERATOR_MIX</t>
        </is>
      </c>
      <c r="K798" s="3" t="inlineStr">
        <is>
          <t>ASSUMP_MOE_EFFICIENCY; ASSUMP_CN_CAPACITY_TRANSPARENCY; ASSUMP_NUMERIC_ACCELERATOR_MIX; ASSUMP_INFERENCE_SHARE_NOT_FACT_60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42300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42141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804" s="3" t="inlineStr">
        <is>
          <t>SRC_DEEPSEEK_V3; SRC_DEEPSEEK_R1; SRC_DEEPSEEK_H800_INFERENCE; SRC_SEMIANALYSIS_INFERENCEX; ASSUMP_NUMERIC_ACCELERATOR_MIX</t>
        </is>
      </c>
      <c r="K804" s="3" t="inlineStr">
        <is>
          <t>ASSUMP_MOE_EFFICIENCY; ASSUMP_CN_CAPACITY_TRANSPARENCY; ASSUMP_NUMERIC_ACCELERATOR_MIX; ASSUMP_INFERENCE_SHARE_NOT_FACT_60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1707620745600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623281572144000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129718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h200_share*h200_reference + b200_share*b200_reference + gb200_share*gb200_reference + purpose_built_share*purpose_built_reference</t>
        </is>
      </c>
      <c r="I819" s="3" t="inlineStr">
        <is>
          <t>Selected InferenceX proxy model: qwen3.5. Each GPU-generation reference is public benchmark input or documented B200 placeholder, not measured company production throughput.</t>
        </is>
      </c>
      <c r="J819" s="3" t="inlineStr">
        <is>
          <t>SRC_SEMIANALYSIS_INFERENCEX; ASSUMP_NUMERIC_ACCELERATOR_MIX</t>
        </is>
      </c>
      <c r="K819" s="3" t="inlineStr">
        <is>
          <t>ASSUMP_MOE_EFFICIENCY; ASSUMP_CN_CAPACITY_TRANSPARENCY; ASSUMP_NUMERIC_ACCELERATOR_MIX; ASSUMP_INFERENCE_SHARE_NOT_FACT_60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Closed-model, reasoning, long-context and SLO mismatch is made explicit rather than hiding it in the benchmark.</t>
        </is>
      </c>
      <c r="J820" s="3" t="inlineStr">
        <is>
          <t>SRC_SEMIANALYSIS_INFERENCEX; ASSUMP_NUMERIC_ACCELERATOR_MIX</t>
        </is>
      </c>
      <c r="K820" s="3" t="inlineStr">
        <is>
          <t>ASSUMP_MOE_EFFICIENCY; ASSUMP_CN_CAPACITY_TRANSPARENCY; ASSUMP_NUMERIC_ACCELERATOR_MIX; ASSUMP_INFERENCE_SHARE_NOT_FACT_60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90803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it is intentionally below the raw public reference unless the commercial workload is closely matched.</t>
        </is>
      </c>
      <c r="J821" s="3" t="inlineStr">
        <is>
          <t>SRC_SEMIANALYSIS_INFERENCEX; ASSUMP_NUMERIC_ACCELERATOR_MIX</t>
        </is>
      </c>
      <c r="K821" s="3" t="inlineStr">
        <is>
          <t>ASSUMP_MOE_EFFICIENCY; ASSUMP_CN_CAPACITY_TRANSPARENCY; ASSUMP_NUMERIC_ACCELERATOR_MIX; ASSUMP_INFERENCE_SHARE_NOT_FACT_60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124839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90803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827" s="3" t="inlineStr">
        <is>
          <t>SRC_QWEN3_GITHUB; SRC_ALIBABA_QWEN_GPU_DEPLOY; SRC_SEMIANALYSIS_INFERENCEX; ASSUMP_NUMERIC_ACCELERATOR_MIX</t>
        </is>
      </c>
      <c r="K827" s="3" t="inlineStr">
        <is>
          <t>ASSUMP_MOE_EFFICIENCY; ASSUMP_CN_CAPACITY_TRANSPARENCY; ASSUMP_NUMERIC_ACCELERATOR_MIX; ASSUMP_INFERENCE_SHARE_NOT_FACT_60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1631838873600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595621188864000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139619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h200_share*h200_reference + b200_share*b200_reference + gb200_share*gb200_reference + purpose_built_share*purpose_built_reference</t>
        </is>
      </c>
      <c r="I842" s="3" t="inlineStr">
        <is>
          <t>Selected InferenceX proxy model: qwen3.5. Each GPU-generation reference is public benchmark input or documented B200 placeholder, not measured company production throughput.</t>
        </is>
      </c>
      <c r="J842" s="3" t="inlineStr">
        <is>
          <t>SRC_SEMIANALYSIS_INFERENCEX; ASSUMP_NUMERIC_ACCELERATOR_MIX</t>
        </is>
      </c>
      <c r="K842" s="3" t="inlineStr">
        <is>
          <t>ASSUMP_MOE_EFFICIENCY; ASSUMP_CN_CAPACITY_TRANSPARENCY; ASSUMP_NUMERIC_ACCELERATOR_MIX; ASSUMP_INFERENCE_SHARE_NOT_FACT_60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Closed-model, reasoning, long-context and SLO mismatch is made explicit rather than hiding it in the benchmark.</t>
        </is>
      </c>
      <c r="J843" s="3" t="inlineStr">
        <is>
          <t>SRC_SEMIANALYSIS_INFERENCEX; ASSUMP_NUMERIC_ACCELERATOR_MIX</t>
        </is>
      </c>
      <c r="K843" s="3" t="inlineStr">
        <is>
          <t>ASSUMP_MOE_EFFICIENCY; ASSUMP_CN_CAPACITY_TRANSPARENCY; ASSUMP_NUMERIC_ACCELERATOR_MIX; ASSUMP_INFERENCE_SHARE_NOT_FACT_60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97733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it is intentionally below the raw public reference unless the commercial workload is closely matched.</t>
        </is>
      </c>
      <c r="J844" s="3" t="inlineStr">
        <is>
          <t>SRC_SEMIANALYSIS_INFERENCEX; ASSUMP_NUMERIC_ACCELERATOR_MIX</t>
        </is>
      </c>
      <c r="K844" s="3" t="inlineStr">
        <is>
          <t>ASSUMP_MOE_EFFICIENCY; ASSUMP_CN_CAPACITY_TRANSPARENCY; ASSUMP_NUMERIC_ACCELERATOR_MIX; ASSUMP_INFERENCE_SHARE_NOT_FACT_60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124839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97733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850" s="3" t="inlineStr">
        <is>
          <t>SRC_QWEN3_GITHUB; SRC_ALIBABA_QWEN_GPU_DEPLOY; SRC_SEMIANALYSIS_INFERENCEX; ASSUMP_NUMERIC_ACCELERATOR_MIX</t>
        </is>
      </c>
      <c r="K850" s="3" t="inlineStr">
        <is>
          <t>ASSUMP_MOE_EFFICIENCY; ASSUMP_CN_CAPACITY_TRANSPARENCY; ASSUMP_NUMERIC_ACCELERATOR_MIX; ASSUMP_INFERENCE_SHARE_NOT_FACT_60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3690085334400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1346881147056000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149609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h200_share*h200_reference + b200_share*b200_reference + gb200_share*gb200_reference + purpose_built_share*purpose_built_reference</t>
        </is>
      </c>
      <c r="I865" s="3" t="inlineStr">
        <is>
          <t>Selected InferenceX proxy model: qwen3.5. Each GPU-generation reference is public benchmark input or documented B200 placeholder, not measured company production throughput.</t>
        </is>
      </c>
      <c r="J865" s="3" t="inlineStr">
        <is>
          <t>SRC_SEMIANALYSIS_INFERENCEX; ASSUMP_NUMERIC_ACCELERATOR_MIX</t>
        </is>
      </c>
      <c r="K865" s="3" t="inlineStr">
        <is>
          <t>ASSUMP_MOE_EFFICIENCY; ASSUMP_CN_CAPACITY_TRANSPARENCY; ASSUMP_NUMERIC_ACCELERATOR_MIX; ASSUMP_INFERENCE_SHARE_NOT_FACT_60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Closed-model, reasoning, long-context and SLO mismatch is made explicit rather than hiding it in the benchmark.</t>
        </is>
      </c>
      <c r="J866" s="3" t="inlineStr">
        <is>
          <t>SRC_SEMIANALYSIS_INFERENCEX; ASSUMP_NUMERIC_ACCELERATOR_MIX</t>
        </is>
      </c>
      <c r="K866" s="3" t="inlineStr">
        <is>
          <t>ASSUMP_MOE_EFFICIENCY; ASSUMP_CN_CAPACITY_TRANSPARENCY; ASSUMP_NUMERIC_ACCELERATOR_MIX; ASSUMP_INFERENCE_SHARE_NOT_FACT_60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104726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it is intentionally below the raw public reference unless the commercial workload is closely matched.</t>
        </is>
      </c>
      <c r="J867" s="3" t="inlineStr">
        <is>
          <t>SRC_SEMIANALYSIS_INFERENCEX; ASSUMP_NUMERIC_ACCELERATOR_MIX</t>
        </is>
      </c>
      <c r="K867" s="3" t="inlineStr">
        <is>
          <t>ASSUMP_MOE_EFFICIENCY; ASSUMP_CN_CAPACITY_TRANSPARENCY; ASSUMP_NUMERIC_ACCELERATOR_MIX; ASSUMP_INFERENCE_SHARE_NOT_FACT_60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124839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104726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873" s="3" t="inlineStr">
        <is>
          <t>SRC_QWEN3_GITHUB; SRC_ALIBABA_QWEN_GPU_DEPLOY; SRC_SEMIANALYSIS_INFERENCEX; ASSUMP_NUMERIC_ACCELERATOR_MIX</t>
        </is>
      </c>
      <c r="K873" s="3" t="inlineStr">
        <is>
          <t>ASSUMP_MOE_EFFICIENCY; ASSUMP_CN_CAPACITY_TRANSPARENCY; ASSUMP_NUMERIC_ACCELERATOR_MIX; ASSUMP_INFERENCE_SHARE_NOT_FACT_60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6243345216000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2278821003840000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159511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h200_share*h200_reference + b200_share*b200_reference + gb200_share*gb200_reference + purpose_built_share*purpose_built_reference</t>
        </is>
      </c>
      <c r="I888" s="3" t="inlineStr">
        <is>
          <t>Selected InferenceX proxy model: qwen3.5. Each GPU-generation reference is public benchmark input or documented B200 placeholder, not measured company production throughput.</t>
        </is>
      </c>
      <c r="J888" s="3" t="inlineStr">
        <is>
          <t>SRC_SEMIANALYSIS_INFERENCEX; ASSUMP_NUMERIC_ACCELERATOR_MIX</t>
        </is>
      </c>
      <c r="K888" s="3" t="inlineStr">
        <is>
          <t>ASSUMP_MOE_EFFICIENCY; ASSUMP_CN_CAPACITY_TRANSPARENCY; ASSUMP_NUMERIC_ACCELERATOR_MIX; ASSUMP_INFERENCE_SHARE_NOT_FACT_60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Closed-model, reasoning, long-context and SLO mismatch is made explicit rather than hiding it in the benchmark.</t>
        </is>
      </c>
      <c r="J889" s="3" t="inlineStr">
        <is>
          <t>SRC_SEMIANALYSIS_INFERENCEX; ASSUMP_NUMERIC_ACCELERATOR_MIX</t>
        </is>
      </c>
      <c r="K889" s="3" t="inlineStr">
        <is>
          <t>ASSUMP_MOE_EFFICIENCY; ASSUMP_CN_CAPACITY_TRANSPARENCY; ASSUMP_NUMERIC_ACCELERATOR_MIX; ASSUMP_INFERENCE_SHARE_NOT_FACT_60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111658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it is intentionally below the raw public reference unless the commercial workload is closely matched.</t>
        </is>
      </c>
      <c r="J890" s="3" t="inlineStr">
        <is>
          <t>SRC_SEMIANALYSIS_INFERENCEX; ASSUMP_NUMERIC_ACCELERATOR_MIX</t>
        </is>
      </c>
      <c r="K890" s="3" t="inlineStr">
        <is>
          <t>ASSUMP_MOE_EFFICIENCY; ASSUMP_CN_CAPACITY_TRANSPARENCY; ASSUMP_NUMERIC_ACCELERATOR_MIX; ASSUMP_INFERENCE_SHARE_NOT_FACT_60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124839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111658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896" s="3" t="inlineStr">
        <is>
          <t>SRC_QWEN3_GITHUB; SRC_ALIBABA_QWEN_GPU_DEPLOY; SRC_SEMIANALYSIS_INFERENCEX; ASSUMP_NUMERIC_ACCELERATOR_MIX</t>
        </is>
      </c>
      <c r="K896" s="3" t="inlineStr">
        <is>
          <t>ASSUMP_MOE_EFFICIENCY; ASSUMP_CN_CAPACITY_TRANSPARENCY; ASSUMP_NUMERIC_ACCELERATOR_MIX; ASSUMP_INFERENCE_SHARE_NOT_FACT_60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9290302905600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3390960560544000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169501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h200_share*h200_reference + b200_share*b200_reference + gb200_share*gb200_reference + purpose_built_share*purpose_built_reference</t>
        </is>
      </c>
      <c r="I911" s="3" t="inlineStr">
        <is>
          <t>Selected InferenceX proxy model: qwen3.5. Each GPU-generation reference is public benchmark input or documented B200 placeholder, not measured company production throughput.</t>
        </is>
      </c>
      <c r="J911" s="3" t="inlineStr">
        <is>
          <t>SRC_SEMIANALYSIS_INFERENCEX; ASSUMP_NUMERIC_ACCELERATOR_MIX</t>
        </is>
      </c>
      <c r="K911" s="3" t="inlineStr">
        <is>
          <t>ASSUMP_MOE_EFFICIENCY; ASSUMP_CN_CAPACITY_TRANSPARENCY; ASSUMP_NUMERIC_ACCELERATOR_MIX; ASSUMP_INFERENCE_SHARE_NOT_FACT_60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Closed-model, reasoning, long-context and SLO mismatch is made explicit rather than hiding it in the benchmark.</t>
        </is>
      </c>
      <c r="J912" s="3" t="inlineStr">
        <is>
          <t>SRC_SEMIANALYSIS_INFERENCEX; ASSUMP_NUMERIC_ACCELERATOR_MIX</t>
        </is>
      </c>
      <c r="K912" s="3" t="inlineStr">
        <is>
          <t>ASSUMP_MOE_EFFICIENCY; ASSUMP_CN_CAPACITY_TRANSPARENCY; ASSUMP_NUMERIC_ACCELERATOR_MIX; ASSUMP_INFERENCE_SHARE_NOT_FACT_60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118651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it is intentionally below the raw public reference unless the commercial workload is closely matched.</t>
        </is>
      </c>
      <c r="J913" s="3" t="inlineStr">
        <is>
          <t>SRC_SEMIANALYSIS_INFERENCEX; ASSUMP_NUMERIC_ACCELERATOR_MIX</t>
        </is>
      </c>
      <c r="K913" s="3" t="inlineStr">
        <is>
          <t>ASSUMP_MOE_EFFICIENCY; ASSUMP_CN_CAPACITY_TRANSPARENCY; ASSUMP_NUMERIC_ACCELERATOR_MIX; ASSUMP_INFERENCE_SHARE_NOT_FACT_60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124839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118651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919" s="3" t="inlineStr">
        <is>
          <t>SRC_QWEN3_GITHUB; SRC_ALIBABA_QWEN_GPU_DEPLOY; SRC_SEMIANALYSIS_INFERENCEX; ASSUMP_NUMERIC_ACCELERATOR_MIX</t>
        </is>
      </c>
      <c r="K919" s="3" t="inlineStr">
        <is>
          <t>ASSUMP_MOE_EFFICIENCY; ASSUMP_CN_CAPACITY_TRANSPARENCY; ASSUMP_NUMERIC_ACCELERATOR_MIX; ASSUMP_INFERENCE_SHARE_NOT_FACT_60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12855313785600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4692189531744000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528791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h200_share*h200_reference + b200_share*b200_reference + gb200_share*gb200_reference + purpose_built_share*purpose_built_reference</t>
        </is>
      </c>
      <c r="I934" s="3" t="inlineStr">
        <is>
          <t>Selected InferenceX proxy model: gptoss120b. Each GPU-generation reference is public benchmark input or documented B200 placeholder, not measured company production throughput.</t>
        </is>
      </c>
      <c r="J934" s="3" t="inlineStr">
        <is>
          <t>SRC_SEMIANALYSIS_INFERENCEX; ASSUMP_NUMERIC_ACCELERATOR_MIX</t>
        </is>
      </c>
      <c r="K934" s="3" t="inlineStr">
        <is>
          <t>ASSUMP_CN_CAPACITY_TRANSPARENCY; ASSUMP_APP_EMBEDDING; ASSUMP_NUMERIC_ACCELERATOR_MIX; ASSUMP_INFERENCE_SHARE_NOT_FACT_60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Closed-model, reasoning, long-context and SLO mismatch is made explicit rather than hiding it in the benchmark.</t>
        </is>
      </c>
      <c r="J935" s="3" t="inlineStr">
        <is>
          <t>SRC_SEMIANALYSIS_INFERENCEX; ASSUMP_NUMERIC_ACCELERATOR_MIX</t>
        </is>
      </c>
      <c r="K935" s="3" t="inlineStr">
        <is>
          <t>ASSUMP_CN_CAPACITY_TRANSPARENCY; ASSUMP_APP_EMBEDDING; ASSUMP_NUMERIC_ACCELERATOR_MIX; ASSUMP_INFERENCE_SHARE_NOT_FACT_60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211516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it is intentionally below the raw public reference unless the commercial workload is closely matched.</t>
        </is>
      </c>
      <c r="J936" s="3" t="inlineStr">
        <is>
          <t>SRC_SEMIANALYSIS_INFERENCEX; ASSUMP_NUMERIC_ACCELERATOR_MIX</t>
        </is>
      </c>
      <c r="K936" s="3" t="inlineStr">
        <is>
          <t>ASSUMP_CN_CAPACITY_TRANSPARENCY; ASSUMP_APP_EMBEDDING; ASSUMP_NUMERIC_ACCELERATOR_MIX; ASSUMP_INFERENCE_SHARE_NOT_FACT_60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289383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211516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942" s="3" t="inlineStr">
        <is>
          <t>SRC_TENCENT_HUNYUAN; SRC_TENCENT_HY3; SRC_TENCENT_AI_INFRA_MOE; SRC_SEMIANALYSIS_INFERENCEX; ASSUMP_NUMERIC_ACCELERATOR_MIX</t>
        </is>
      </c>
      <c r="K942" s="3" t="inlineStr">
        <is>
          <t>ASSUMP_CN_CAPACITY_TRANSPARENCY; ASSUMP_APP_EMBEDDING; ASSUMP_NUMERIC_ACCELERATOR_MIX; ASSUMP_INFERENCE_SHARE_NOT_FACT_60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2631597465600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960533074944000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568432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h200_share*h200_reference + b200_share*b200_reference + gb200_share*gb200_reference + purpose_built_share*purpose_built_reference</t>
        </is>
      </c>
      <c r="I957" s="3" t="inlineStr">
        <is>
          <t>Selected InferenceX proxy model: gptoss120b. Each GPU-generation reference is public benchmark input or documented B200 placeholder, not measured company production throughput.</t>
        </is>
      </c>
      <c r="J957" s="3" t="inlineStr">
        <is>
          <t>SRC_SEMIANALYSIS_INFERENCEX; ASSUMP_NUMERIC_ACCELERATOR_MIX</t>
        </is>
      </c>
      <c r="K957" s="3" t="inlineStr">
        <is>
          <t>ASSUMP_CN_CAPACITY_TRANSPARENCY; ASSUMP_APP_EMBEDDING; ASSUMP_NUMERIC_ACCELERATOR_MIX; ASSUMP_INFERENCE_SHARE_NOT_FACT_60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Closed-model, reasoning, long-context and SLO mismatch is made explicit rather than hiding it in the benchmark.</t>
        </is>
      </c>
      <c r="J958" s="3" t="inlineStr">
        <is>
          <t>SRC_SEMIANALYSIS_INFERENCEX; ASSUMP_NUMERIC_ACCELERATOR_MIX</t>
        </is>
      </c>
      <c r="K958" s="3" t="inlineStr">
        <is>
          <t>ASSUMP_CN_CAPACITY_TRANSPARENCY; ASSUMP_APP_EMBEDDING; ASSUMP_NUMERIC_ACCELERATOR_MIX; ASSUMP_INFERENCE_SHARE_NOT_FACT_60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227373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it is intentionally below the raw public reference unless the commercial workload is closely matched.</t>
        </is>
      </c>
      <c r="J959" s="3" t="inlineStr">
        <is>
          <t>SRC_SEMIANALYSIS_INFERENCEX; ASSUMP_NUMERIC_ACCELERATOR_MIX</t>
        </is>
      </c>
      <c r="K959" s="3" t="inlineStr">
        <is>
          <t>ASSUMP_CN_CAPACITY_TRANSPARENCY; ASSUMP_APP_EMBEDDING; ASSUMP_NUMERIC_ACCELERATOR_MIX; ASSUMP_INFERENCE_SHARE_NOT_FACT_60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289383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227373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965" s="3" t="inlineStr">
        <is>
          <t>SRC_TENCENT_HUNYUAN; SRC_TENCENT_HY3; SRC_TENCENT_AI_INFRA_MOE; SRC_SEMIANALYSIS_INFERENCEX; ASSUMP_NUMERIC_ACCELERATOR_MIX</t>
        </is>
      </c>
      <c r="K965" s="3" t="inlineStr">
        <is>
          <t>ASSUMP_CN_CAPACITY_TRANSPARENCY; ASSUMP_APP_EMBEDDING; ASSUMP_NUMERIC_ACCELERATOR_MIX; ASSUMP_INFERENCE_SHARE_NOT_FACT_60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6247118649600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2280198307104000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608428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h200_share*h200_reference + b200_share*b200_reference + gb200_share*gb200_reference + purpose_built_share*purpose_built_reference</t>
        </is>
      </c>
      <c r="I980" s="3" t="inlineStr">
        <is>
          <t>Selected InferenceX proxy model: gptoss120b. Each GPU-generation reference is public benchmark input or documented B200 placeholder, not measured company production throughput.</t>
        </is>
      </c>
      <c r="J980" s="3" t="inlineStr">
        <is>
          <t>SRC_SEMIANALYSIS_INFERENCEX; ASSUMP_NUMERIC_ACCELERATOR_MIX</t>
        </is>
      </c>
      <c r="K980" s="3" t="inlineStr">
        <is>
          <t>ASSUMP_CN_CAPACITY_TRANSPARENCY; ASSUMP_APP_EMBEDDING; ASSUMP_NUMERIC_ACCELERATOR_MIX; ASSUMP_INFERENCE_SHARE_NOT_FACT_60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Closed-model, reasoning, long-context and SLO mismatch is made explicit rather than hiding it in the benchmark.</t>
        </is>
      </c>
      <c r="J981" s="3" t="inlineStr">
        <is>
          <t>SRC_SEMIANALYSIS_INFERENCEX; ASSUMP_NUMERIC_ACCELERATOR_MIX</t>
        </is>
      </c>
      <c r="K981" s="3" t="inlineStr">
        <is>
          <t>ASSUMP_CN_CAPACITY_TRANSPARENCY; ASSUMP_APP_EMBEDDING; ASSUMP_NUMERIC_ACCELERATOR_MIX; ASSUMP_INFERENCE_SHARE_NOT_FACT_60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243371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it is intentionally below the raw public reference unless the commercial workload is closely matched.</t>
        </is>
      </c>
      <c r="J982" s="3" t="inlineStr">
        <is>
          <t>SRC_SEMIANALYSIS_INFERENCEX; ASSUMP_NUMERIC_ACCELERATOR_MIX</t>
        </is>
      </c>
      <c r="K982" s="3" t="inlineStr">
        <is>
          <t>ASSUMP_CN_CAPACITY_TRANSPARENCY; ASSUMP_APP_EMBEDDING; ASSUMP_NUMERIC_ACCELERATOR_MIX; ASSUMP_INFERENCE_SHARE_NOT_FACT_60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289383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243371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988" s="3" t="inlineStr">
        <is>
          <t>SRC_TENCENT_HUNYUAN; SRC_TENCENT_HY3; SRC_TENCENT_AI_INFRA_MOE; SRC_SEMIANALYSIS_INFERENCEX; ASSUMP_NUMERIC_ACCELERATOR_MIX</t>
        </is>
      </c>
      <c r="K988" s="3" t="inlineStr">
        <is>
          <t>ASSUMP_CN_CAPACITY_TRANSPARENCY; ASSUMP_APP_EMBEDDING; ASSUMP_NUMERIC_ACCELERATOR_MIX; ASSUMP_INFERENCE_SHARE_NOT_FACT_60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10744926998400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3921898354416000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648069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h200_share*h200_reference + b200_share*b200_reference + gb200_share*gb200_reference + purpose_built_share*purpose_built_reference</t>
        </is>
      </c>
      <c r="I1003" s="3" t="inlineStr">
        <is>
          <t>Selected InferenceX proxy model: gptoss120b. Each GPU-generation reference is public benchmark input or documented B200 placeholder, not measured company production throughput.</t>
        </is>
      </c>
      <c r="J1003" s="3" t="inlineStr">
        <is>
          <t>SRC_SEMIANALYSIS_INFERENCEX; ASSUMP_NUMERIC_ACCELERATOR_MIX</t>
        </is>
      </c>
      <c r="K1003" s="3" t="inlineStr">
        <is>
          <t>ASSUMP_CN_CAPACITY_TRANSPARENCY; ASSUMP_APP_EMBEDDING; ASSUMP_NUMERIC_ACCELERATOR_MIX; ASSUMP_INFERENCE_SHARE_NOT_FACT_60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Closed-model, reasoning, long-context and SLO mismatch is made explicit rather than hiding it in the benchmark.</t>
        </is>
      </c>
      <c r="J1004" s="3" t="inlineStr">
        <is>
          <t>SRC_SEMIANALYSIS_INFERENCEX; ASSUMP_NUMERIC_ACCELERATOR_MIX</t>
        </is>
      </c>
      <c r="K1004" s="3" t="inlineStr">
        <is>
          <t>ASSUMP_CN_CAPACITY_TRANSPARENCY; ASSUMP_APP_EMBEDDING; ASSUMP_NUMERIC_ACCELERATOR_MIX; ASSUMP_INFERENCE_SHARE_NOT_FACT_60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259228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it is intentionally below the raw public reference unless the commercial workload is closely matched.</t>
        </is>
      </c>
      <c r="J1005" s="3" t="inlineStr">
        <is>
          <t>SRC_SEMIANALYSIS_INFERENCEX; ASSUMP_NUMERIC_ACCELERATOR_MIX</t>
        </is>
      </c>
      <c r="K1005" s="3" t="inlineStr">
        <is>
          <t>ASSUMP_CN_CAPACITY_TRANSPARENCY; ASSUMP_APP_EMBEDDING; ASSUMP_NUMERIC_ACCELERATOR_MIX; ASSUMP_INFERENCE_SHARE_NOT_FACT_60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289383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259228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1011" s="3" t="inlineStr">
        <is>
          <t>SRC_TENCENT_HUNYUAN; SRC_TENCENT_HY3; SRC_TENCENT_AI_INFRA_MOE; SRC_SEMIANALYSIS_INFERENCEX; ASSUMP_NUMERIC_ACCELERATOR_MIX</t>
        </is>
      </c>
      <c r="K1011" s="3" t="inlineStr">
        <is>
          <t>ASSUMP_CN_CAPACITY_TRANSPARENCY; ASSUMP_APP_EMBEDDING; ASSUMP_NUMERIC_ACCELERATOR_MIX; ASSUMP_INFERENCE_SHARE_NOT_FACT_60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16103658124800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5877835215552000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688064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h200_share*h200_reference + b200_share*b200_reference + gb200_share*gb200_reference + purpose_built_share*purpose_built_reference</t>
        </is>
      </c>
      <c r="I1026" s="3" t="inlineStr">
        <is>
          <t>Selected InferenceX proxy model: gptoss120b. Each GPU-generation reference is public benchmark input or documented B200 placeholder, not measured company production throughput.</t>
        </is>
      </c>
      <c r="J1026" s="3" t="inlineStr">
        <is>
          <t>SRC_SEMIANALYSIS_INFERENCEX; ASSUMP_NUMERIC_ACCELERATOR_MIX</t>
        </is>
      </c>
      <c r="K1026" s="3" t="inlineStr">
        <is>
          <t>ASSUMP_CN_CAPACITY_TRANSPARENCY; ASSUMP_APP_EMBEDDING; ASSUMP_NUMERIC_ACCELERATOR_MIX; ASSUMP_INFERENCE_SHARE_NOT_FACT_60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Closed-model, reasoning, long-context and SLO mismatch is made explicit rather than hiding it in the benchmark.</t>
        </is>
      </c>
      <c r="J1027" s="3" t="inlineStr">
        <is>
          <t>SRC_SEMIANALYSIS_INFERENCEX; ASSUMP_NUMERIC_ACCELERATOR_MIX</t>
        </is>
      </c>
      <c r="K1027" s="3" t="inlineStr">
        <is>
          <t>ASSUMP_CN_CAPACITY_TRANSPARENCY; ASSUMP_APP_EMBEDDING; ASSUMP_NUMERIC_ACCELERATOR_MIX; ASSUMP_INFERENCE_SHARE_NOT_FACT_60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275226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it is intentionally below the raw public reference unless the commercial workload is closely matched.</t>
        </is>
      </c>
      <c r="J1028" s="3" t="inlineStr">
        <is>
          <t>SRC_SEMIANALYSIS_INFERENCEX; ASSUMP_NUMERIC_ACCELERATOR_MIX</t>
        </is>
      </c>
      <c r="K1028" s="3" t="inlineStr">
        <is>
          <t>ASSUMP_CN_CAPACITY_TRANSPARENCY; ASSUMP_APP_EMBEDDING; ASSUMP_NUMERIC_ACCELERATOR_MIX; ASSUMP_INFERENCE_SHARE_NOT_FACT_60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289383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275226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1034" s="3" t="inlineStr">
        <is>
          <t>SRC_TENCENT_HUNYUAN; SRC_TENCENT_HY3; SRC_TENCENT_AI_INFRA_MOE; SRC_SEMIANALYSIS_INFERENCEX; ASSUMP_NUMERIC_ACCELERATOR_MIX</t>
        </is>
      </c>
      <c r="K1034" s="3" t="inlineStr">
        <is>
          <t>ASSUMP_CN_CAPACITY_TRANSPARENCY; ASSUMP_APP_EMBEDDING; ASSUMP_NUMERIC_ACCELERATOR_MIX; ASSUMP_INFERENCE_SHARE_NOT_FACT_60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22376534342400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8167435034976000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548258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h200_share*h200_reference + b200_share*b200_reference + gb200_share*gb200_reference + purpose_built_share*purpose_built_reference</t>
        </is>
      </c>
      <c r="I1049" s="3" t="inlineStr">
        <is>
          <t>Selected InferenceX proxy model: gptoss120b. Each GPU-generation reference is public benchmark input or documented B200 placeholder, not measured company production throughput.</t>
        </is>
      </c>
      <c r="J1049" s="3" t="inlineStr">
        <is>
          <t>SRC_SEMIANALYSIS_INFERENCEX; ASSUMP_NUMERIC_ACCELERATOR_MIX</t>
        </is>
      </c>
      <c r="K1049" s="3" t="inlineStr">
        <is>
          <t>ASSUMP_POWER_RAMP; ASSUMP_MS_OPENAI_ATTRIBUTION; ASSUMP_NUMERIC_ACCELERATOR_MIX; ASSUMP_INFERENCE_SHARE_NOT_FACT_60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Closed-model, reasoning, long-context and SLO mismatch is made explicit rather than hiding it in the benchmark.</t>
        </is>
      </c>
      <c r="J1050" s="3" t="inlineStr">
        <is>
          <t>SRC_SEMIANALYSIS_INFERENCEX; ASSUMP_NUMERIC_ACCELERATOR_MIX</t>
        </is>
      </c>
      <c r="K1050" s="3" t="inlineStr">
        <is>
          <t>ASSUMP_POWER_RAMP; ASSUMP_MS_OPENAI_ATTRIBUTION; ASSUMP_NUMERIC_ACCELERATOR_MIX; ASSUMP_INFERENCE_SHARE_NOT_FACT_60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328955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it is intentionally below the raw public reference unless the commercial workload is closely matched.</t>
        </is>
      </c>
      <c r="J1051" s="3" t="inlineStr">
        <is>
          <t>SRC_SEMIANALYSIS_INFERENCEX; ASSUMP_NUMERIC_ACCELERATOR_MIX</t>
        </is>
      </c>
      <c r="K1051" s="3" t="inlineStr">
        <is>
          <t>ASSUMP_POWER_RAMP; ASSUMP_MS_OPENAI_ATTRIBUTION; ASSUMP_NUMERIC_ACCELERATOR_MIX; ASSUMP_INFERENCE_SHARE_NOT_FACT_60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434075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328955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057" s="3" t="inlineStr">
        <is>
          <t>SRC_MS_PHI; SRC_OPENAI_GPT41_DOCS; SRC_MS_PHI4_TECHREPORT; SRC_MS_MAIA200; SRC_SEMIANALYSIS_INFERENCEX; ASSUMP_NUMERIC_ACCELERATOR_MIX</t>
        </is>
      </c>
      <c r="K1057" s="3" t="inlineStr">
        <is>
          <t>ASSUMP_POWER_RAMP; ASSUMP_MS_OPENAI_ATTRIBUTION; ASSUMP_NUMERIC_ACCELERATOR_MIX; ASSUMP_INFERENCE_SHARE_NOT_FACT_60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20179415520000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7365486664800000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597809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h200_share*h200_reference + b200_share*b200_reference + gb200_share*gb200_reference + purpose_built_share*purpose_built_reference</t>
        </is>
      </c>
      <c r="I1072" s="3" t="inlineStr">
        <is>
          <t>Selected InferenceX proxy model: gptoss120b. Each GPU-generation reference is public benchmark input or documented B200 placeholder, not measured company production throughput.</t>
        </is>
      </c>
      <c r="J1072" s="3" t="inlineStr">
        <is>
          <t>SRC_SEMIANALYSIS_INFERENCEX; ASSUMP_NUMERIC_ACCELERATOR_MIX</t>
        </is>
      </c>
      <c r="K1072" s="3" t="inlineStr">
        <is>
          <t>ASSUMP_POWER_RAMP; ASSUMP_MS_OPENAI_ATTRIBUTION; ASSUMP_NUMERIC_ACCELERATOR_MIX; ASSUMP_INFERENCE_SHARE_NOT_FACT_60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Closed-model, reasoning, long-context and SLO mismatch is made explicit rather than hiding it in the benchmark.</t>
        </is>
      </c>
      <c r="J1073" s="3" t="inlineStr">
        <is>
          <t>SRC_SEMIANALYSIS_INFERENCEX; ASSUMP_NUMERIC_ACCELERATOR_MIX</t>
        </is>
      </c>
      <c r="K1073" s="3" t="inlineStr">
        <is>
          <t>ASSUMP_POWER_RAMP; ASSUMP_MS_OPENAI_ATTRIBUTION; ASSUMP_NUMERIC_ACCELERATOR_MIX; ASSUMP_INFERENCE_SHARE_NOT_FACT_60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358685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it is intentionally below the raw public reference unless the commercial workload is closely matched.</t>
        </is>
      </c>
      <c r="J1074" s="3" t="inlineStr">
        <is>
          <t>SRC_SEMIANALYSIS_INFERENCEX; ASSUMP_NUMERIC_ACCELERATOR_MIX</t>
        </is>
      </c>
      <c r="K1074" s="3" t="inlineStr">
        <is>
          <t>ASSUMP_POWER_RAMP; ASSUMP_MS_OPENAI_ATTRIBUTION; ASSUMP_NUMERIC_ACCELERATOR_MIX; ASSUMP_INFERENCE_SHARE_NOT_FACT_60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434075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358685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080" s="3" t="inlineStr">
        <is>
          <t>SRC_MS_PHI; SRC_OPENAI_GPT41_DOCS; SRC_MS_PHI4_TECHREPORT; SRC_MS_MAIA200; SRC_SEMIANALYSIS_INFERENCEX; ASSUMP_NUMERIC_ACCELERATOR_MIX</t>
        </is>
      </c>
      <c r="K1080" s="3" t="inlineStr">
        <is>
          <t>ASSUMP_POWER_RAMP; ASSUMP_MS_OPENAI_ATTRIBUTION; ASSUMP_NUMERIC_ACCELERATOR_MIX; ASSUMP_INFERENCE_SHARE_NOT_FACT_60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38645008848000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1.410542822952e+16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639928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h200_share*h200_reference + b200_share*b200_reference + gb200_share*gb200_reference + purpose_built_share*purpose_built_reference</t>
        </is>
      </c>
      <c r="I1095" s="3" t="inlineStr">
        <is>
          <t>Selected InferenceX proxy model: gptoss120b. Each GPU-generation reference is public benchmark input or documented B200 placeholder, not measured company production throughput.</t>
        </is>
      </c>
      <c r="J1095" s="3" t="inlineStr">
        <is>
          <t>SRC_SEMIANALYSIS_INFERENCEX; ASSUMP_NUMERIC_ACCELERATOR_MIX</t>
        </is>
      </c>
      <c r="K1095" s="3" t="inlineStr">
        <is>
          <t>ASSUMP_POWER_RAMP; ASSUMP_MS_OPENAI_ATTRIBUTION; ASSUMP_NUMERIC_ACCELERATOR_MIX; ASSUMP_INFERENCE_SHARE_NOT_FACT_60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Closed-model, reasoning, long-context and SLO mismatch is made explicit rather than hiding it in the benchmark.</t>
        </is>
      </c>
      <c r="J1096" s="3" t="inlineStr">
        <is>
          <t>SRC_SEMIANALYSIS_INFERENCEX; ASSUMP_NUMERIC_ACCELERATOR_MIX</t>
        </is>
      </c>
      <c r="K1096" s="3" t="inlineStr">
        <is>
          <t>ASSUMP_POWER_RAMP; ASSUMP_MS_OPENAI_ATTRIBUTION; ASSUMP_NUMERIC_ACCELERATOR_MIX; ASSUMP_INFERENCE_SHARE_NOT_FACT_60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383957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it is intentionally below the raw public reference unless the commercial workload is closely matched.</t>
        </is>
      </c>
      <c r="J1097" s="3" t="inlineStr">
        <is>
          <t>SRC_SEMIANALYSIS_INFERENCEX; ASSUMP_NUMERIC_ACCELERATOR_MIX</t>
        </is>
      </c>
      <c r="K1097" s="3" t="inlineStr">
        <is>
          <t>ASSUMP_POWER_RAMP; ASSUMP_MS_OPENAI_ATTRIBUTION; ASSUMP_NUMERIC_ACCELERATOR_MIX; ASSUMP_INFERENCE_SHARE_NOT_FACT_60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434075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383957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103" s="3" t="inlineStr">
        <is>
          <t>SRC_MS_PHI; SRC_OPENAI_GPT41_DOCS; SRC_MS_PHI4_TECHREPORT; SRC_MS_MAIA200; SRC_SEMIANALYSIS_INFERENCEX; ASSUMP_NUMERIC_ACCELERATOR_MIX</t>
        </is>
      </c>
      <c r="K1103" s="3" t="inlineStr">
        <is>
          <t>ASSUMP_POWER_RAMP; ASSUMP_MS_OPENAI_ATTRIBUTION; ASSUMP_NUMERIC_ACCELERATOR_MIX; ASSUMP_INFERENCE_SHARE_NOT_FACT_60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61802947382400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2.2558075794576e+16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675676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h200_share*h200_reference + b200_share*b200_reference + gb200_share*gb200_reference + purpose_built_share*purpose_built_reference</t>
        </is>
      </c>
      <c r="I1118" s="3" t="inlineStr">
        <is>
          <t>Selected InferenceX proxy model: gptoss120b. Each GPU-generation reference is public benchmark input or documented B200 placeholder, not measured company production throughput.</t>
        </is>
      </c>
      <c r="J1118" s="3" t="inlineStr">
        <is>
          <t>SRC_SEMIANALYSIS_INFERENCEX; ASSUMP_NUMERIC_ACCELERATOR_MIX</t>
        </is>
      </c>
      <c r="K1118" s="3" t="inlineStr">
        <is>
          <t>ASSUMP_POWER_RAMP; ASSUMP_MS_OPENAI_ATTRIBUTION; ASSUMP_NUMERIC_ACCELERATOR_MIX; ASSUMP_INFERENCE_SHARE_NOT_FACT_60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Closed-model, reasoning, long-context and SLO mismatch is made explicit rather than hiding it in the benchmark.</t>
        </is>
      </c>
      <c r="J1119" s="3" t="inlineStr">
        <is>
          <t>SRC_SEMIANALYSIS_INFERENCEX; ASSUMP_NUMERIC_ACCELERATOR_MIX</t>
        </is>
      </c>
      <c r="K1119" s="3" t="inlineStr">
        <is>
          <t>ASSUMP_POWER_RAMP; ASSUMP_MS_OPENAI_ATTRIBUTION; ASSUMP_NUMERIC_ACCELERATOR_MIX; ASSUMP_INFERENCE_SHARE_NOT_FACT_60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405406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it is intentionally below the raw public reference unless the commercial workload is closely matched.</t>
        </is>
      </c>
      <c r="J1120" s="3" t="inlineStr">
        <is>
          <t>SRC_SEMIANALYSIS_INFERENCEX; ASSUMP_NUMERIC_ACCELERATOR_MIX</t>
        </is>
      </c>
      <c r="K1120" s="3" t="inlineStr">
        <is>
          <t>ASSUMP_POWER_RAMP; ASSUMP_MS_OPENAI_ATTRIBUTION; ASSUMP_NUMERIC_ACCELERATOR_MIX; ASSUMP_INFERENCE_SHARE_NOT_FACT_60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434075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405406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126" s="3" t="inlineStr">
        <is>
          <t>SRC_MS_PHI; SRC_OPENAI_GPT41_DOCS; SRC_MS_PHI4_TECHREPORT; SRC_MS_MAIA200; SRC_SEMIANALYSIS_INFERENCEX; ASSUMP_NUMERIC_ACCELERATOR_MIX</t>
        </is>
      </c>
      <c r="K1126" s="3" t="inlineStr">
        <is>
          <t>ASSUMP_POWER_RAMP; ASSUMP_MS_OPENAI_ATTRIBUTION; ASSUMP_NUMERIC_ACCELERATOR_MIX; ASSUMP_INFERENCE_SHARE_NOT_FACT_60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89634293625600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3.2716517173344e+16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703991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h200_share*h200_reference + b200_share*b200_reference + gb200_share*gb200_reference + purpose_built_share*purpose_built_reference</t>
        </is>
      </c>
      <c r="I1141" s="3" t="inlineStr">
        <is>
          <t>Selected InferenceX proxy model: gptoss120b. Each GPU-generation reference is public benchmark input or documented B200 placeholder, not measured company production throughput.</t>
        </is>
      </c>
      <c r="J1141" s="3" t="inlineStr">
        <is>
          <t>SRC_SEMIANALYSIS_INFERENCEX; ASSUMP_NUMERIC_ACCELERATOR_MIX</t>
        </is>
      </c>
      <c r="K1141" s="3" t="inlineStr">
        <is>
          <t>ASSUMP_POWER_RAMP; ASSUMP_MS_OPENAI_ATTRIBUTION; ASSUMP_NUMERIC_ACCELERATOR_MIX; ASSUMP_INFERENCE_SHARE_NOT_FACT_60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Closed-model, reasoning, long-context and SLO mismatch is made explicit rather than hiding it in the benchmark.</t>
        </is>
      </c>
      <c r="J1142" s="3" t="inlineStr">
        <is>
          <t>SRC_SEMIANALYSIS_INFERENCEX; ASSUMP_NUMERIC_ACCELERATOR_MIX</t>
        </is>
      </c>
      <c r="K1142" s="3" t="inlineStr">
        <is>
          <t>ASSUMP_POWER_RAMP; ASSUMP_MS_OPENAI_ATTRIBUTION; ASSUMP_NUMERIC_ACCELERATOR_MIX; ASSUMP_INFERENCE_SHARE_NOT_FACT_60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422395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it is intentionally below the raw public reference unless the commercial workload is closely matched.</t>
        </is>
      </c>
      <c r="J1143" s="3" t="inlineStr">
        <is>
          <t>SRC_SEMIANALYSIS_INFERENCEX; ASSUMP_NUMERIC_ACCELERATOR_MIX</t>
        </is>
      </c>
      <c r="K1143" s="3" t="inlineStr">
        <is>
          <t>ASSUMP_POWER_RAMP; ASSUMP_MS_OPENAI_ATTRIBUTION; ASSUMP_NUMERIC_ACCELERATOR_MIX; ASSUMP_INFERENCE_SHARE_NOT_FACT_60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434075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422395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1149" s="3" t="inlineStr">
        <is>
          <t>SRC_MS_PHI; SRC_OPENAI_GPT41_DOCS; SRC_MS_PHI4_TECHREPORT; SRC_MS_MAIA200; SRC_SEMIANALYSIS_INFERENCEX; ASSUMP_NUMERIC_ACCELERATOR_MIX</t>
        </is>
      </c>
      <c r="K1149" s="3" t="inlineStr">
        <is>
          <t>ASSUMP_POWER_RAMP; ASSUMP_MS_OPENAI_ATTRIBUTION; ASSUMP_NUMERIC_ACCELERATOR_MIX; ASSUMP_INFERENCE_SHARE_NOT_FACT_60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121637595024000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4.439772218376e+16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684525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h200_share*h200_reference + b200_share*b200_reference + gb200_share*gb200_reference + purpose_built_share*purpose_built_reference</t>
        </is>
      </c>
      <c r="I1164" s="3" t="inlineStr">
        <is>
          <t>Selected InferenceX proxy model: gptoss120b. Each GPU-generation reference is public benchmark input or documented B200 placeholder, not measured company production throughput.</t>
        </is>
      </c>
      <c r="J1164" s="3" t="inlineStr">
        <is>
          <t>SRC_SEMIANALYSIS_INFERENCEX; ASSUMP_NUMERIC_ACCELERATOR_MIX</t>
        </is>
      </c>
      <c r="K1164" s="3" t="inlineStr">
        <is>
          <t>ASSUMP_TPU_EFFICIENCY; ASSUMP_POWER_RAMP; ASSUMP_NUMERIC_ACCELERATOR_MIX; ASSUMP_INFERENCE_SHARE_NOT_FACT_60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Closed-model, reasoning, long-context and SLO mismatch is made explicit rather than hiding it in the benchmark.</t>
        </is>
      </c>
      <c r="J1165" s="3" t="inlineStr">
        <is>
          <t>SRC_SEMIANALYSIS_INFERENCEX; ASSUMP_NUMERIC_ACCELERATOR_MIX</t>
        </is>
      </c>
      <c r="K1165" s="3" t="inlineStr">
        <is>
          <t>ASSUMP_TPU_EFFICIENCY; ASSUMP_POWER_RAMP; ASSUMP_NUMERIC_ACCELERATOR_MIX; ASSUMP_INFERENCE_SHARE_NOT_FACT_60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410715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it is intentionally below the raw public reference unless the commercial workload is closely matched.</t>
        </is>
      </c>
      <c r="J1166" s="3" t="inlineStr">
        <is>
          <t>SRC_SEMIANALYSIS_INFERENCEX; ASSUMP_NUMERIC_ACCELERATOR_MIX</t>
        </is>
      </c>
      <c r="K1166" s="3" t="inlineStr">
        <is>
          <t>ASSUMP_TPU_EFFICIENCY; ASSUMP_POWER_RAMP; ASSUMP_NUMERIC_ACCELERATOR_MIX; ASSUMP_INFERENCE_SHARE_NOT_FACT_60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434075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410715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172" s="3" t="inlineStr">
        <is>
          <t>SRC_GOOGLE_GEMINI_TOKENS; SRC_GOOGLE_IRONWOOD; SRC_GOOGLE_TPU_V6E; SRC_SEMIANALYSIS_INFERENCEX; ASSUMP_NUMERIC_ACCELERATOR_MIX</t>
        </is>
      </c>
      <c r="K1172" s="3" t="inlineStr">
        <is>
          <t>ASSUMP_TPU_EFFICIENCY; ASSUMP_POWER_RAMP; ASSUMP_NUMERIC_ACCELERATOR_MIX; ASSUMP_INFERENCE_SHARE_NOT_FACT_60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32008169952000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1.168298203248e+16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696205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h200_share*h200_reference + b200_share*b200_reference + gb200_share*gb200_reference + purpose_built_share*purpose_built_reference</t>
        </is>
      </c>
      <c r="I1187" s="3" t="inlineStr">
        <is>
          <t>Selected InferenceX proxy model: gptoss120b. Each GPU-generation reference is public benchmark input or documented B200 placeholder, not measured company production throughput.</t>
        </is>
      </c>
      <c r="J1187" s="3" t="inlineStr">
        <is>
          <t>SRC_SEMIANALYSIS_INFERENCEX; ASSUMP_NUMERIC_ACCELERATOR_MIX</t>
        </is>
      </c>
      <c r="K1187" s="3" t="inlineStr">
        <is>
          <t>ASSUMP_TPU_EFFICIENCY; ASSUMP_POWER_RAMP; ASSUMP_NUMERIC_ACCELERATOR_MIX; ASSUMP_INFERENCE_SHARE_NOT_FACT_60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Closed-model, reasoning, long-context and SLO mismatch is made explicit rather than hiding it in the benchmark.</t>
        </is>
      </c>
      <c r="J1188" s="3" t="inlineStr">
        <is>
          <t>SRC_SEMIANALYSIS_INFERENCEX; ASSUMP_NUMERIC_ACCELERATOR_MIX</t>
        </is>
      </c>
      <c r="K1188" s="3" t="inlineStr">
        <is>
          <t>ASSUMP_TPU_EFFICIENCY; ASSUMP_POWER_RAMP; ASSUMP_NUMERIC_ACCELERATOR_MIX; ASSUMP_INFERENCE_SHARE_NOT_FACT_60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417723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it is intentionally below the raw public reference unless the commercial workload is closely matched.</t>
        </is>
      </c>
      <c r="J1189" s="3" t="inlineStr">
        <is>
          <t>SRC_SEMIANALYSIS_INFERENCEX; ASSUMP_NUMERIC_ACCELERATOR_MIX</t>
        </is>
      </c>
      <c r="K1189" s="3" t="inlineStr">
        <is>
          <t>ASSUMP_TPU_EFFICIENCY; ASSUMP_POWER_RAMP; ASSUMP_NUMERIC_ACCELERATOR_MIX; ASSUMP_INFERENCE_SHARE_NOT_FACT_60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434075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417723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195" s="3" t="inlineStr">
        <is>
          <t>SRC_GOOGLE_GEMINI_TOKENS; SRC_GOOGLE_IRONWOOD; SRC_GOOGLE_TPU_V6E; SRC_SEMIANALYSIS_INFERENCEX; ASSUMP_NUMERIC_ACCELERATOR_MIX</t>
        </is>
      </c>
      <c r="K1195" s="3" t="inlineStr">
        <is>
          <t>ASSUMP_TPU_EFFICIENCY; ASSUMP_POWER_RAMP; ASSUMP_NUMERIC_ACCELERATOR_MIX; ASSUMP_INFERENCE_SHARE_NOT_FACT_60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53415075456000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1.949650254144e+16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706115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h200_share*h200_reference + b200_share*b200_reference + gb200_share*gb200_reference + purpose_built_share*purpose_built_reference</t>
        </is>
      </c>
      <c r="I1210" s="3" t="inlineStr">
        <is>
          <t>Selected InferenceX proxy model: gptoss120b. Each GPU-generation reference is public benchmark input or documented B200 placeholder, not measured company production throughput.</t>
        </is>
      </c>
      <c r="J1210" s="3" t="inlineStr">
        <is>
          <t>SRC_SEMIANALYSIS_INFERENCEX; ASSUMP_NUMERIC_ACCELERATOR_MIX</t>
        </is>
      </c>
      <c r="K1210" s="3" t="inlineStr">
        <is>
          <t>ASSUMP_TPU_EFFICIENCY; ASSUMP_POWER_RAMP; ASSUMP_NUMERIC_ACCELERATOR_MIX; ASSUMP_INFERENCE_SHARE_NOT_FACT_60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Closed-model, reasoning, long-context and SLO mismatch is made explicit rather than hiding it in the benchmark.</t>
        </is>
      </c>
      <c r="J1211" s="3" t="inlineStr">
        <is>
          <t>SRC_SEMIANALYSIS_INFERENCEX; ASSUMP_NUMERIC_ACCELERATOR_MIX</t>
        </is>
      </c>
      <c r="K1211" s="3" t="inlineStr">
        <is>
          <t>ASSUMP_TPU_EFFICIENCY; ASSUMP_POWER_RAMP; ASSUMP_NUMERIC_ACCELERATOR_MIX; ASSUMP_INFERENCE_SHARE_NOT_FACT_60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423669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it is intentionally below the raw public reference unless the commercial workload is closely matched.</t>
        </is>
      </c>
      <c r="J1212" s="3" t="inlineStr">
        <is>
          <t>SRC_SEMIANALYSIS_INFERENCEX; ASSUMP_NUMERIC_ACCELERATOR_MIX</t>
        </is>
      </c>
      <c r="K1212" s="3" t="inlineStr">
        <is>
          <t>ASSUMP_TPU_EFFICIENCY; ASSUMP_POWER_RAMP; ASSUMP_NUMERIC_ACCELERATOR_MIX; ASSUMP_INFERENCE_SHARE_NOT_FACT_60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434075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423669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218" s="3" t="inlineStr">
        <is>
          <t>SRC_GOOGLE_GEMINI_TOKENS; SRC_GOOGLE_IRONWOOD; SRC_GOOGLE_TPU_V6E; SRC_SEMIANALYSIS_INFERENCEX; ASSUMP_NUMERIC_ACCELERATOR_MIX</t>
        </is>
      </c>
      <c r="K1218" s="3" t="inlineStr">
        <is>
          <t>ASSUMP_TPU_EFFICIENCY; ASSUMP_POWER_RAMP; ASSUMP_NUMERIC_ACCELERATOR_MIX; ASSUMP_INFERENCE_SHARE_NOT_FACT_60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78005258409600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2.8471919319504e+16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713902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h200_share*h200_reference + b200_share*b200_reference + gb200_share*gb200_reference + purpose_built_share*purpose_built_reference</t>
        </is>
      </c>
      <c r="I1233" s="3" t="inlineStr">
        <is>
          <t>Selected InferenceX proxy model: gptoss120b. Each GPU-generation reference is public benchmark input or documented B200 placeholder, not measured company production throughput.</t>
        </is>
      </c>
      <c r="J1233" s="3" t="inlineStr">
        <is>
          <t>SRC_SEMIANALYSIS_INFERENCEX; ASSUMP_NUMERIC_ACCELERATOR_MIX</t>
        </is>
      </c>
      <c r="K1233" s="3" t="inlineStr">
        <is>
          <t>ASSUMP_TPU_EFFICIENCY; ASSUMP_POWER_RAMP; ASSUMP_NUMERIC_ACCELERATOR_MIX; ASSUMP_INFERENCE_SHARE_NOT_FACT_60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Closed-model, reasoning, long-context and SLO mismatch is made explicit rather than hiding it in the benchmark.</t>
        </is>
      </c>
      <c r="J1234" s="3" t="inlineStr">
        <is>
          <t>SRC_SEMIANALYSIS_INFERENCEX; ASSUMP_NUMERIC_ACCELERATOR_MIX</t>
        </is>
      </c>
      <c r="K1234" s="3" t="inlineStr">
        <is>
          <t>ASSUMP_TPU_EFFICIENCY; ASSUMP_POWER_RAMP; ASSUMP_NUMERIC_ACCELERATOR_MIX; ASSUMP_INFERENCE_SHARE_NOT_FACT_60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428341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it is intentionally below the raw public reference unless the commercial workload is closely matched.</t>
        </is>
      </c>
      <c r="J1235" s="3" t="inlineStr">
        <is>
          <t>SRC_SEMIANALYSIS_INFERENCEX; ASSUMP_NUMERIC_ACCELERATOR_MIX</t>
        </is>
      </c>
      <c r="K1235" s="3" t="inlineStr">
        <is>
          <t>ASSUMP_TPU_EFFICIENCY; ASSUMP_POWER_RAMP; ASSUMP_NUMERIC_ACCELERATOR_MIX; ASSUMP_INFERENCE_SHARE_NOT_FACT_60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434075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428341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241" s="3" t="inlineStr">
        <is>
          <t>SRC_GOOGLE_GEMINI_TOKENS; SRC_GOOGLE_IRONWOOD; SRC_GOOGLE_TPU_V6E; SRC_SEMIANALYSIS_INFERENCEX; ASSUMP_NUMERIC_ACCELERATOR_MIX</t>
        </is>
      </c>
      <c r="K1241" s="3" t="inlineStr">
        <is>
          <t>ASSUMP_TPU_EFFICIENCY; ASSUMP_POWER_RAMP; ASSUMP_NUMERIC_ACCELERATOR_MIX; ASSUMP_INFERENCE_SHARE_NOT_FACT_60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105659731152000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3.856580187048e+16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719919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h200_share*h200_reference + b200_share*b200_reference + gb200_share*gb200_reference + purpose_built_share*purpose_built_reference</t>
        </is>
      </c>
      <c r="I1256" s="3" t="inlineStr">
        <is>
          <t>Selected InferenceX proxy model: gptoss120b. Each GPU-generation reference is public benchmark input or documented B200 placeholder, not measured company production throughput.</t>
        </is>
      </c>
      <c r="J1256" s="3" t="inlineStr">
        <is>
          <t>SRC_SEMIANALYSIS_INFERENCEX; ASSUMP_NUMERIC_ACCELERATOR_MIX</t>
        </is>
      </c>
      <c r="K1256" s="3" t="inlineStr">
        <is>
          <t>ASSUMP_TPU_EFFICIENCY; ASSUMP_POWER_RAMP; ASSUMP_NUMERIC_ACCELERATOR_MIX; ASSUMP_INFERENCE_SHARE_NOT_FACT_60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Closed-model, reasoning, long-context and SLO mismatch is made explicit rather than hiding it in the benchmark.</t>
        </is>
      </c>
      <c r="J1257" s="3" t="inlineStr">
        <is>
          <t>SRC_SEMIANALYSIS_INFERENCEX; ASSUMP_NUMERIC_ACCELERATOR_MIX</t>
        </is>
      </c>
      <c r="K1257" s="3" t="inlineStr">
        <is>
          <t>ASSUMP_TPU_EFFICIENCY; ASSUMP_POWER_RAMP; ASSUMP_NUMERIC_ACCELERATOR_MIX; ASSUMP_INFERENCE_SHARE_NOT_FACT_60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431951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it is intentionally below the raw public reference unless the commercial workload is closely matched.</t>
        </is>
      </c>
      <c r="J1258" s="3" t="inlineStr">
        <is>
          <t>SRC_SEMIANALYSIS_INFERENCEX; ASSUMP_NUMERIC_ACCELERATOR_MIX</t>
        </is>
      </c>
      <c r="K1258" s="3" t="inlineStr">
        <is>
          <t>ASSUMP_TPU_EFFICIENCY; ASSUMP_POWER_RAMP; ASSUMP_NUMERIC_ACCELERATOR_MIX; ASSUMP_INFERENCE_SHARE_NOT_FACT_60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434075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431951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1264" s="3" t="inlineStr">
        <is>
          <t>SRC_GOOGLE_GEMINI_TOKENS; SRC_GOOGLE_IRONWOOD; SRC_GOOGLE_TPU_V6E; SRC_SEMIANALYSIS_INFERENCEX; ASSUMP_NUMERIC_ACCELERATOR_MIX</t>
        </is>
      </c>
      <c r="K1264" s="3" t="inlineStr">
        <is>
          <t>ASSUMP_TPU_EFFICIENCY; ASSUMP_POWER_RAMP; ASSUMP_NUMERIC_ACCELERATOR_MIX; ASSUMP_INFERENCE_SHARE_NOT_FACT_60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136257387926400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4.9733946593136e+16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201780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h200_share*h200_reference + b200_share*b200_reference + gb200_share*gb200_reference + purpose_built_share*purpose_built_reference</t>
        </is>
      </c>
      <c r="I1279" s="3" t="inlineStr">
        <is>
          <t>Selected InferenceX proxy model: llama70b. Each GPU-generation reference is public benchmark input or documented B200 placeholder, not measured company production throughput.</t>
        </is>
      </c>
      <c r="J1279" s="3" t="inlineStr">
        <is>
          <t>SRC_SEMIANALYSIS_INFERENCEX; ASSUMP_NUMERIC_ACCELERATOR_MIX</t>
        </is>
      </c>
      <c r="K1279" s="3" t="inlineStr">
        <is>
          <t>ASSUMP_CONSUMER_AI_UTILIZATION; ASSUMP_POWER_RAMP; ASSUMP_NUMERIC_ACCELERATOR_MIX; ASSUMP_INFERENCE_SHARE_NOT_FACT_60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Closed-model, reasoning, long-context and SLO mismatch is made explicit rather than hiding it in the benchmark.</t>
        </is>
      </c>
      <c r="J1280" s="3" t="inlineStr">
        <is>
          <t>SRC_SEMIANALYSIS_INFERENCEX; ASSUMP_NUMERIC_ACCELERATOR_MIX</t>
        </is>
      </c>
      <c r="K1280" s="3" t="inlineStr">
        <is>
          <t>ASSUMP_CONSUMER_AI_UTILIZATION; ASSUMP_POWER_RAMP; ASSUMP_NUMERIC_ACCELERATOR_MIX; ASSUMP_INFERENCE_SHARE_NOT_FACT_60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181602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it is intentionally below the raw public reference unless the commercial workload is closely matched.</t>
        </is>
      </c>
      <c r="J1281" s="3" t="inlineStr">
        <is>
          <t>SRC_SEMIANALYSIS_INFERENCEX; ASSUMP_NUMERIC_ACCELERATOR_MIX</t>
        </is>
      </c>
      <c r="K1281" s="3" t="inlineStr">
        <is>
          <t>ASSUMP_CONSUMER_AI_UTILIZATION; ASSUMP_POWER_RAMP; ASSUMP_NUMERIC_ACCELERATOR_MIX; ASSUMP_INFERENCE_SHARE_NOT_FACT_60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180771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181602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1287" s="3" t="inlineStr">
        <is>
          <t>SRC_META_LLAMA; SRC_META_LLAMA4_NVIDIA; SRC_META_MTIA_GENAI_2026; SRC_SEMIANALYSIS_INFERENCEX; ASSUMP_NUMERIC_ACCELERATOR_MIX</t>
        </is>
      </c>
      <c r="K1287" s="3" t="inlineStr">
        <is>
          <t>ASSUMP_CONSUMER_AI_UTILIZATION; ASSUMP_POWER_RAMP; ASSUMP_NUMERIC_ACCELERATOR_MIX; ASSUMP_INFERENCE_SHARE_NOT_FACT_60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10559647814400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3854271452256000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201519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h200_share*h200_reference + b200_share*b200_reference + gb200_share*gb200_reference + purpose_built_share*purpose_built_reference</t>
        </is>
      </c>
      <c r="I1302" s="3" t="inlineStr">
        <is>
          <t>Selected InferenceX proxy model: llama70b. Each GPU-generation reference is public benchmark input or documented B200 placeholder, not measured company production throughput.</t>
        </is>
      </c>
      <c r="J1302" s="3" t="inlineStr">
        <is>
          <t>SRC_SEMIANALYSIS_INFERENCEX; ASSUMP_NUMERIC_ACCELERATOR_MIX</t>
        </is>
      </c>
      <c r="K1302" s="3" t="inlineStr">
        <is>
          <t>ASSUMP_CONSUMER_AI_UTILIZATION; ASSUMP_POWER_RAMP; ASSUMP_NUMERIC_ACCELERATOR_MIX; ASSUMP_INFERENCE_SHARE_NOT_FACT_60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Closed-model, reasoning, long-context and SLO mismatch is made explicit rather than hiding it in the benchmark.</t>
        </is>
      </c>
      <c r="J1303" s="3" t="inlineStr">
        <is>
          <t>SRC_SEMIANALYSIS_INFERENCEX; ASSUMP_NUMERIC_ACCELERATOR_MIX</t>
        </is>
      </c>
      <c r="K1303" s="3" t="inlineStr">
        <is>
          <t>ASSUMP_CONSUMER_AI_UTILIZATION; ASSUMP_POWER_RAMP; ASSUMP_NUMERIC_ACCELERATOR_MIX; ASSUMP_INFERENCE_SHARE_NOT_FACT_60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181367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it is intentionally below the raw public reference unless the commercial workload is closely matched.</t>
        </is>
      </c>
      <c r="J1304" s="3" t="inlineStr">
        <is>
          <t>SRC_SEMIANALYSIS_INFERENCEX; ASSUMP_NUMERIC_ACCELERATOR_MIX</t>
        </is>
      </c>
      <c r="K1304" s="3" t="inlineStr">
        <is>
          <t>ASSUMP_CONSUMER_AI_UTILIZATION; ASSUMP_POWER_RAMP; ASSUMP_NUMERIC_ACCELERATOR_MIX; ASSUMP_INFERENCE_SHARE_NOT_FACT_60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180771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181367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1310" s="3" t="inlineStr">
        <is>
          <t>SRC_META_LLAMA; SRC_META_LLAMA4_NVIDIA; SRC_META_MTIA_GENAI_2026; SRC_SEMIANALYSIS_INFERENCEX; ASSUMP_NUMERIC_ACCELERATOR_MIX</t>
        </is>
      </c>
      <c r="K1310" s="3" t="inlineStr">
        <is>
          <t>ASSUMP_CONSUMER_AI_UTILIZATION; ASSUMP_POWER_RAMP; ASSUMP_NUMERIC_ACCELERATOR_MIX; ASSUMP_INFERENCE_SHARE_NOT_FACT_60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18960831648000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6920703551520000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201297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h200_share*h200_reference + b200_share*b200_reference + gb200_share*gb200_reference + purpose_built_share*purpose_built_reference</t>
        </is>
      </c>
      <c r="I1325" s="3" t="inlineStr">
        <is>
          <t>Selected InferenceX proxy model: llama70b. Each GPU-generation reference is public benchmark input or documented B200 placeholder, not measured company production throughput.</t>
        </is>
      </c>
      <c r="J1325" s="3" t="inlineStr">
        <is>
          <t>SRC_SEMIANALYSIS_INFERENCEX; ASSUMP_NUMERIC_ACCELERATOR_MIX</t>
        </is>
      </c>
      <c r="K1325" s="3" t="inlineStr">
        <is>
          <t>ASSUMP_CONSUMER_AI_UTILIZATION; ASSUMP_POWER_RAMP; ASSUMP_NUMERIC_ACCELERATOR_MIX; ASSUMP_INFERENCE_SHARE_NOT_FACT_60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Closed-model, reasoning, long-context and SLO mismatch is made explicit rather than hiding it in the benchmark.</t>
        </is>
      </c>
      <c r="J1326" s="3" t="inlineStr">
        <is>
          <t>SRC_SEMIANALYSIS_INFERENCEX; ASSUMP_NUMERIC_ACCELERATOR_MIX</t>
        </is>
      </c>
      <c r="K1326" s="3" t="inlineStr">
        <is>
          <t>ASSUMP_CONSUMER_AI_UTILIZATION; ASSUMP_POWER_RAMP; ASSUMP_NUMERIC_ACCELERATOR_MIX; ASSUMP_INFERENCE_SHARE_NOT_FACT_60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181167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it is intentionally below the raw public reference unless the commercial workload is closely matched.</t>
        </is>
      </c>
      <c r="J1327" s="3" t="inlineStr">
        <is>
          <t>SRC_SEMIANALYSIS_INFERENCEX; ASSUMP_NUMERIC_ACCELERATOR_MIX</t>
        </is>
      </c>
      <c r="K1327" s="3" t="inlineStr">
        <is>
          <t>ASSUMP_CONSUMER_AI_UTILIZATION; ASSUMP_POWER_RAMP; ASSUMP_NUMERIC_ACCELERATOR_MIX; ASSUMP_INFERENCE_SHARE_NOT_FACT_60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180771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181167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1333" s="3" t="inlineStr">
        <is>
          <t>SRC_META_LLAMA; SRC_META_LLAMA4_NVIDIA; SRC_META_MTIA_GENAI_2026; SRC_SEMIANALYSIS_INFERENCEX; ASSUMP_NUMERIC_ACCELERATOR_MIX</t>
        </is>
      </c>
      <c r="K1333" s="3" t="inlineStr">
        <is>
          <t>ASSUMP_CONSUMER_AI_UTILIZATION; ASSUMP_POWER_RAMP; ASSUMP_NUMERIC_ACCELERATOR_MIX; ASSUMP_INFERENCE_SHARE_NOT_FACT_60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28550759731200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1.0421027301888e+16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201109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h200_share*h200_reference + b200_share*b200_reference + gb200_share*gb200_reference + purpose_built_share*purpose_built_reference</t>
        </is>
      </c>
      <c r="I1348" s="3" t="inlineStr">
        <is>
          <t>Selected InferenceX proxy model: llama70b. Each GPU-generation reference is public benchmark input or documented B200 placeholder, not measured company production throughput.</t>
        </is>
      </c>
      <c r="J1348" s="3" t="inlineStr">
        <is>
          <t>SRC_SEMIANALYSIS_INFERENCEX; ASSUMP_NUMERIC_ACCELERATOR_MIX</t>
        </is>
      </c>
      <c r="K1348" s="3" t="inlineStr">
        <is>
          <t>ASSUMP_CONSUMER_AI_UTILIZATION; ASSUMP_POWER_RAMP; ASSUMP_NUMERIC_ACCELERATOR_MIX; ASSUMP_INFERENCE_SHARE_NOT_FACT_60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Closed-model, reasoning, long-context and SLO mismatch is made explicit rather than hiding it in the benchmark.</t>
        </is>
      </c>
      <c r="J1349" s="3" t="inlineStr">
        <is>
          <t>SRC_SEMIANALYSIS_INFERENCEX; ASSUMP_NUMERIC_ACCELERATOR_MIX</t>
        </is>
      </c>
      <c r="K1349" s="3" t="inlineStr">
        <is>
          <t>ASSUMP_CONSUMER_AI_UTILIZATION; ASSUMP_POWER_RAMP; ASSUMP_NUMERIC_ACCELERATOR_MIX; ASSUMP_INFERENCE_SHARE_NOT_FACT_60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180998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it is intentionally below the raw public reference unless the commercial workload is closely matched.</t>
        </is>
      </c>
      <c r="J1350" s="3" t="inlineStr">
        <is>
          <t>SRC_SEMIANALYSIS_INFERENCEX; ASSUMP_NUMERIC_ACCELERATOR_MIX</t>
        </is>
      </c>
      <c r="K1350" s="3" t="inlineStr">
        <is>
          <t>ASSUMP_CONSUMER_AI_UTILIZATION; ASSUMP_POWER_RAMP; ASSUMP_NUMERIC_ACCELERATOR_MIX; ASSUMP_INFERENCE_SHARE_NOT_FACT_60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180771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180998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1356" s="3" t="inlineStr">
        <is>
          <t>SRC_META_LLAMA; SRC_META_LLAMA4_NVIDIA; SRC_META_MTIA_GENAI_2026; SRC_SEMIANALYSIS_INFERENCEX; ASSUMP_NUMERIC_ACCELERATOR_MIX</t>
        </is>
      </c>
      <c r="K1356" s="3" t="inlineStr">
        <is>
          <t>ASSUMP_CONSUMER_AI_UTILIZATION; ASSUMP_POWER_RAMP; ASSUMP_NUMERIC_ACCELERATOR_MIX; ASSUMP_INFERENCE_SHARE_NOT_FACT_60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39314503180800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1.4349793660992e+16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200960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h200_share*h200_reference + b200_share*b200_reference + gb200_share*gb200_reference + purpose_built_share*purpose_built_reference</t>
        </is>
      </c>
      <c r="I1371" s="3" t="inlineStr">
        <is>
          <t>Selected InferenceX proxy model: llama70b. Each GPU-generation reference is public benchmark input or documented B200 placeholder, not measured company production throughput.</t>
        </is>
      </c>
      <c r="J1371" s="3" t="inlineStr">
        <is>
          <t>SRC_SEMIANALYSIS_INFERENCEX; ASSUMP_NUMERIC_ACCELERATOR_MIX</t>
        </is>
      </c>
      <c r="K1371" s="3" t="inlineStr">
        <is>
          <t>ASSUMP_CONSUMER_AI_UTILIZATION; ASSUMP_POWER_RAMP; ASSUMP_NUMERIC_ACCELERATOR_MIX; ASSUMP_INFERENCE_SHARE_NOT_FACT_60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Closed-model, reasoning, long-context and SLO mismatch is made explicit rather than hiding it in the benchmark.</t>
        </is>
      </c>
      <c r="J1372" s="3" t="inlineStr">
        <is>
          <t>SRC_SEMIANALYSIS_INFERENCEX; ASSUMP_NUMERIC_ACCELERATOR_MIX</t>
        </is>
      </c>
      <c r="K1372" s="3" t="inlineStr">
        <is>
          <t>ASSUMP_CONSUMER_AI_UTILIZATION; ASSUMP_POWER_RAMP; ASSUMP_NUMERIC_ACCELERATOR_MIX; ASSUMP_INFERENCE_SHARE_NOT_FACT_60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180864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it is intentionally below the raw public reference unless the commercial workload is closely matched.</t>
        </is>
      </c>
      <c r="J1373" s="3" t="inlineStr">
        <is>
          <t>SRC_SEMIANALYSIS_INFERENCEX; ASSUMP_NUMERIC_ACCELERATOR_MIX</t>
        </is>
      </c>
      <c r="K1373" s="3" t="inlineStr">
        <is>
          <t>ASSUMP_CONSUMER_AI_UTILIZATION; ASSUMP_POWER_RAMP; ASSUMP_NUMERIC_ACCELERATOR_MIX; ASSUMP_INFERENCE_SHARE_NOT_FACT_60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180771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180864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1379" s="3" t="inlineStr">
        <is>
          <t>SRC_META_LLAMA; SRC_META_LLAMA4_NVIDIA; SRC_META_MTIA_GENAI_2026; SRC_SEMIANALYSIS_INFERENCEX; ASSUMP_NUMERIC_ACCELERATOR_MIX</t>
        </is>
      </c>
      <c r="K1379" s="3" t="inlineStr">
        <is>
          <t>ASSUMP_CONSUMER_AI_UTILIZATION; ASSUMP_POWER_RAMP; ASSUMP_NUMERIC_ACCELERATOR_MIX; ASSUMP_INFERENCE_SHARE_NOT_FACT_60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51255410688000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1.870822490112e+16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528791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h200_share*h200_reference + b200_share*b200_reference + gb200_share*gb200_reference + purpose_built_share*purpose_built_reference</t>
        </is>
      </c>
      <c r="I1394" s="3" t="inlineStr">
        <is>
          <t>Selected InferenceX proxy model: gptoss120b. Each GPU-generation reference is public benchmark input or documented B200 placeholder, not measured company production throughput.</t>
        </is>
      </c>
      <c r="J1394" s="3" t="inlineStr">
        <is>
          <t>SRC_SEMIANALYSIS_INFERENCEX; ASSUMP_NUMERIC_ACCELERATOR_MIX</t>
        </is>
      </c>
      <c r="K1394" s="3" t="inlineStr">
        <is>
          <t>ASSUMP_CLUSTER_RAMP; ASSUMP_CLOSED_MODEL_BAND; ASSUMP_NUMERIC_ACCELERATOR_MIX; ASSUMP_INFERENCE_SHARE_NOT_FACT_60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Closed-model, reasoning, long-context and SLO mismatch is made explicit rather than hiding it in the benchmark.</t>
        </is>
      </c>
      <c r="J1395" s="3" t="inlineStr">
        <is>
          <t>SRC_SEMIANALYSIS_INFERENCEX; ASSUMP_NUMERIC_ACCELERATOR_MIX</t>
        </is>
      </c>
      <c r="K1395" s="3" t="inlineStr">
        <is>
          <t>ASSUMP_CLUSTER_RAMP; ASSUMP_CLOSED_MODEL_BAND; ASSUMP_NUMERIC_ACCELERATOR_MIX; ASSUMP_INFERENCE_SHARE_NOT_FACT_60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290835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it is intentionally below the raw public reference unless the commercial workload is closely matched.</t>
        </is>
      </c>
      <c r="J1396" s="3" t="inlineStr">
        <is>
          <t>SRC_SEMIANALYSIS_INFERENCEX; ASSUMP_NUMERIC_ACCELERATOR_MIX</t>
        </is>
      </c>
      <c r="K1396" s="3" t="inlineStr">
        <is>
          <t>ASSUMP_CLUSTER_RAMP; ASSUMP_CLOSED_MODEL_BAND; ASSUMP_NUMERIC_ACCELERATOR_MIX; ASSUMP_INFERENCE_SHARE_NOT_FACT_60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397902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290835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1402" s="3" t="inlineStr">
        <is>
          <t>SRC_XAI_MODELS; SRC_XAI_NVIDIA_COLOSSUS; SRC_SEMIANALYSIS_INFERENCEX; ASSUMP_NUMERIC_ACCELERATOR_MIX</t>
        </is>
      </c>
      <c r="K1402" s="3" t="inlineStr">
        <is>
          <t>ASSUMP_CLUSTER_RAMP; ASSUMP_CLOSED_MODEL_BAND; ASSUMP_NUMERIC_ACCELERATOR_MIX; ASSUMP_INFERENCE_SHARE_NOT_FACT_60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2764095840000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1008894981600000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568432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h200_share*h200_reference + b200_share*b200_reference + gb200_share*gb200_reference + purpose_built_share*purpose_built_reference</t>
        </is>
      </c>
      <c r="I1417" s="3" t="inlineStr">
        <is>
          <t>Selected InferenceX proxy model: gptoss120b. Each GPU-generation reference is public benchmark input or documented B200 placeholder, not measured company production throughput.</t>
        </is>
      </c>
      <c r="J1417" s="3" t="inlineStr">
        <is>
          <t>SRC_SEMIANALYSIS_INFERENCEX; ASSUMP_NUMERIC_ACCELERATOR_MIX</t>
        </is>
      </c>
      <c r="K1417" s="3" t="inlineStr">
        <is>
          <t>ASSUMP_CLUSTER_RAMP; ASSUMP_CLOSED_MODEL_BAND; ASSUMP_NUMERIC_ACCELERATOR_MIX; ASSUMP_INFERENCE_SHARE_NOT_FACT_60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Closed-model, reasoning, long-context and SLO mismatch is made explicit rather than hiding it in the benchmark.</t>
        </is>
      </c>
      <c r="J1418" s="3" t="inlineStr">
        <is>
          <t>SRC_SEMIANALYSIS_INFERENCEX; ASSUMP_NUMERIC_ACCELERATOR_MIX</t>
        </is>
      </c>
      <c r="K1418" s="3" t="inlineStr">
        <is>
          <t>ASSUMP_CLUSTER_RAMP; ASSUMP_CLOSED_MODEL_BAND; ASSUMP_NUMERIC_ACCELERATOR_MIX; ASSUMP_INFERENCE_SHARE_NOT_FACT_60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312638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it is intentionally below the raw public reference unless the commercial workload is closely matched.</t>
        </is>
      </c>
      <c r="J1419" s="3" t="inlineStr">
        <is>
          <t>SRC_SEMIANALYSIS_INFERENCEX; ASSUMP_NUMERIC_ACCELERATOR_MIX</t>
        </is>
      </c>
      <c r="K1419" s="3" t="inlineStr">
        <is>
          <t>ASSUMP_CLUSTER_RAMP; ASSUMP_CLOSED_MODEL_BAND; ASSUMP_NUMERIC_ACCELERATOR_MIX; ASSUMP_INFERENCE_SHARE_NOT_FACT_60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397902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312638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1425" s="3" t="inlineStr">
        <is>
          <t>SRC_XAI_MODELS; SRC_XAI_NVIDIA_COLOSSUS; SRC_SEMIANALYSIS_INFERENCEX; ASSUMP_NUMERIC_ACCELERATOR_MIX</t>
        </is>
      </c>
      <c r="K1425" s="3" t="inlineStr">
        <is>
          <t>ASSUMP_CLUSTER_RAMP; ASSUMP_CLOSED_MODEL_BAND; ASSUMP_NUMERIC_ACCELERATOR_MIX; ASSUMP_INFERENCE_SHARE_NOT_FACT_60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8562779654400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3125414573856000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608428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h200_share*h200_reference + b200_share*b200_reference + gb200_share*gb200_reference + purpose_built_share*purpose_built_reference</t>
        </is>
      </c>
      <c r="I1440" s="3" t="inlineStr">
        <is>
          <t>Selected InferenceX proxy model: gptoss120b. Each GPU-generation reference is public benchmark input or documented B200 placeholder, not measured company production throughput.</t>
        </is>
      </c>
      <c r="J1440" s="3" t="inlineStr">
        <is>
          <t>SRC_SEMIANALYSIS_INFERENCEX; ASSUMP_NUMERIC_ACCELERATOR_MIX</t>
        </is>
      </c>
      <c r="K1440" s="3" t="inlineStr">
        <is>
          <t>ASSUMP_CLUSTER_RAMP; ASSUMP_CLOSED_MODEL_BAND; ASSUMP_NUMERIC_ACCELERATOR_MIX; ASSUMP_INFERENCE_SHARE_NOT_FACT_60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Closed-model, reasoning, long-context and SLO mismatch is made explicit rather than hiding it in the benchmark.</t>
        </is>
      </c>
      <c r="J1441" s="3" t="inlineStr">
        <is>
          <t>SRC_SEMIANALYSIS_INFERENCEX; ASSUMP_NUMERIC_ACCELERATOR_MIX</t>
        </is>
      </c>
      <c r="K1441" s="3" t="inlineStr">
        <is>
          <t>ASSUMP_CLUSTER_RAMP; ASSUMP_CLOSED_MODEL_BAND; ASSUMP_NUMERIC_ACCELERATOR_MIX; ASSUMP_INFERENCE_SHARE_NOT_FACT_60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334635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it is intentionally below the raw public reference unless the commercial workload is closely matched.</t>
        </is>
      </c>
      <c r="J1442" s="3" t="inlineStr">
        <is>
          <t>SRC_SEMIANALYSIS_INFERENCEX; ASSUMP_NUMERIC_ACCELERATOR_MIX</t>
        </is>
      </c>
      <c r="K1442" s="3" t="inlineStr">
        <is>
          <t>ASSUMP_CLUSTER_RAMP; ASSUMP_CLOSED_MODEL_BAND; ASSUMP_NUMERIC_ACCELERATOR_MIX; ASSUMP_INFERENCE_SHARE_NOT_FACT_60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397902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334635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1448" s="3" t="inlineStr">
        <is>
          <t>SRC_XAI_MODELS; SRC_XAI_NVIDIA_COLOSSUS; SRC_SEMIANALYSIS_INFERENCEX; ASSUMP_NUMERIC_ACCELERATOR_MIX</t>
        </is>
      </c>
      <c r="K1448" s="3" t="inlineStr">
        <is>
          <t>ASSUMP_CLUSTER_RAMP; ASSUMP_CLOSED_MODEL_BAND; ASSUMP_NUMERIC_ACCELERATOR_MIX; ASSUMP_INFERENCE_SHARE_NOT_FACT_60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16509016944000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6025791184560000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648069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h200_share*h200_reference + b200_share*b200_reference + gb200_share*gb200_reference + purpose_built_share*purpose_built_reference</t>
        </is>
      </c>
      <c r="I1463" s="3" t="inlineStr">
        <is>
          <t>Selected InferenceX proxy model: gptoss120b. Each GPU-generation reference is public benchmark input or documented B200 placeholder, not measured company production throughput.</t>
        </is>
      </c>
      <c r="J1463" s="3" t="inlineStr">
        <is>
          <t>SRC_SEMIANALYSIS_INFERENCEX; ASSUMP_NUMERIC_ACCELERATOR_MIX</t>
        </is>
      </c>
      <c r="K1463" s="3" t="inlineStr">
        <is>
          <t>ASSUMP_CLUSTER_RAMP; ASSUMP_CLOSED_MODEL_BAND; ASSUMP_NUMERIC_ACCELERATOR_MIX; ASSUMP_INFERENCE_SHARE_NOT_FACT_60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Closed-model, reasoning, long-context and SLO mismatch is made explicit rather than hiding it in the benchmark.</t>
        </is>
      </c>
      <c r="J1464" s="3" t="inlineStr">
        <is>
          <t>SRC_SEMIANALYSIS_INFERENCEX; ASSUMP_NUMERIC_ACCELERATOR_MIX</t>
        </is>
      </c>
      <c r="K1464" s="3" t="inlineStr">
        <is>
          <t>ASSUMP_CLUSTER_RAMP; ASSUMP_CLOSED_MODEL_BAND; ASSUMP_NUMERIC_ACCELERATOR_MIX; ASSUMP_INFERENCE_SHARE_NOT_FACT_60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356438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it is intentionally below the raw public reference unless the commercial workload is closely matched.</t>
        </is>
      </c>
      <c r="J1465" s="3" t="inlineStr">
        <is>
          <t>SRC_SEMIANALYSIS_INFERENCEX; ASSUMP_NUMERIC_ACCELERATOR_MIX</t>
        </is>
      </c>
      <c r="K1465" s="3" t="inlineStr">
        <is>
          <t>ASSUMP_CLUSTER_RAMP; ASSUMP_CLOSED_MODEL_BAND; ASSUMP_NUMERIC_ACCELERATOR_MIX; ASSUMP_INFERENCE_SHARE_NOT_FACT_60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397902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356438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1471" s="3" t="inlineStr">
        <is>
          <t>SRC_XAI_MODELS; SRC_XAI_NVIDIA_COLOSSUS; SRC_SEMIANALYSIS_INFERENCEX; ASSUMP_NUMERIC_ACCELERATOR_MIX</t>
        </is>
      </c>
      <c r="K1471" s="3" t="inlineStr">
        <is>
          <t>ASSUMP_CLUSTER_RAMP; ASSUMP_CLOSED_MODEL_BAND; ASSUMP_NUMERIC_ACCELERATOR_MIX; ASSUMP_INFERENCE_SHARE_NOT_FACT_60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26854324070400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9801828285696000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688064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h200_share*h200_reference + b200_share*b200_reference + gb200_share*gb200_reference + purpose_built_share*purpose_built_reference</t>
        </is>
      </c>
      <c r="I1486" s="3" t="inlineStr">
        <is>
          <t>Selected InferenceX proxy model: gptoss120b. Each GPU-generation reference is public benchmark input or documented B200 placeholder, not measured company production throughput.</t>
        </is>
      </c>
      <c r="J1486" s="3" t="inlineStr">
        <is>
          <t>SRC_SEMIANALYSIS_INFERENCEX; ASSUMP_NUMERIC_ACCELERATOR_MIX</t>
        </is>
      </c>
      <c r="K1486" s="3" t="inlineStr">
        <is>
          <t>ASSUMP_CLUSTER_RAMP; ASSUMP_CLOSED_MODEL_BAND; ASSUMP_NUMERIC_ACCELERATOR_MIX; ASSUMP_INFERENCE_SHARE_NOT_FACT_60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Closed-model, reasoning, long-context and SLO mismatch is made explicit rather than hiding it in the benchmark.</t>
        </is>
      </c>
      <c r="J1487" s="3" t="inlineStr">
        <is>
          <t>SRC_SEMIANALYSIS_INFERENCEX; ASSUMP_NUMERIC_ACCELERATOR_MIX</t>
        </is>
      </c>
      <c r="K1487" s="3" t="inlineStr">
        <is>
          <t>ASSUMP_CLUSTER_RAMP; ASSUMP_CLOSED_MODEL_BAND; ASSUMP_NUMERIC_ACCELERATOR_MIX; ASSUMP_INFERENCE_SHARE_NOT_FACT_60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378435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it is intentionally below the raw public reference unless the commercial workload is closely matched.</t>
        </is>
      </c>
      <c r="J1488" s="3" t="inlineStr">
        <is>
          <t>SRC_SEMIANALYSIS_INFERENCEX; ASSUMP_NUMERIC_ACCELERATOR_MIX</t>
        </is>
      </c>
      <c r="K1488" s="3" t="inlineStr">
        <is>
          <t>ASSUMP_CLUSTER_RAMP; ASSUMP_CLOSED_MODEL_BAND; ASSUMP_NUMERIC_ACCELERATOR_MIX; ASSUMP_INFERENCE_SHARE_NOT_FACT_60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397902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378435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1494" s="3" t="inlineStr">
        <is>
          <t>SRC_XAI_MODELS; SRC_XAI_NVIDIA_COLOSSUS; SRC_SEMIANALYSIS_INFERENCEX; ASSUMP_NUMERIC_ACCELERATOR_MIX</t>
        </is>
      </c>
      <c r="K1494" s="3" t="inlineStr">
        <is>
          <t>ASSUMP_CLUSTER_RAMP; ASSUMP_CLOSED_MODEL_BAND; ASSUMP_NUMERIC_ACCELERATOR_MIX; ASSUMP_INFERENCE_SHARE_NOT_FACT_60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39857379696000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1.454794358904e+16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528791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h200_share*h200_reference + b200_share*b200_reference + gb200_share*gb200_reference + purpose_built_share*purpose_built_reference</t>
        </is>
      </c>
      <c r="I1509" s="3" t="inlineStr">
        <is>
          <t>Selected InferenceX proxy model: gptoss120b. Each GPU-generation reference is public benchmark input or documented B200 placeholder, not measured company production throughput.</t>
        </is>
      </c>
      <c r="J1509" s="3" t="inlineStr">
        <is>
          <t>SRC_SEMIANALYSIS_INFERENCEX; ASSUMP_NUMERIC_ACCELERATOR_MIX</t>
        </is>
      </c>
      <c r="K1509" s="3" t="inlineStr">
        <is>
          <t>ASSUMP_STARGATE_RAMP; ASSUMP_MS_OPENAI_ATTRIBUTION; ASSUMP_NUMERIC_ACCELERATOR_MIX; ASSUMP_INFERENCE_SHARE_NOT_FACT_60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Closed-model, reasoning, long-context and SLO mismatch is made explicit rather than hiding it in the benchmark.</t>
        </is>
      </c>
      <c r="J1510" s="3" t="inlineStr">
        <is>
          <t>SRC_SEMIANALYSIS_INFERENCEX; ASSUMP_NUMERIC_ACCELERATOR_MIX</t>
        </is>
      </c>
      <c r="K1510" s="3" t="inlineStr">
        <is>
          <t>ASSUMP_STARGATE_RAMP; ASSUMP_MS_OPENAI_ATTRIBUTION; ASSUMP_NUMERIC_ACCELERATOR_MIX; ASSUMP_INFERENCE_SHARE_NOT_FACT_60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264396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it is intentionally below the raw public reference unless the commercial workload is closely matched.</t>
        </is>
      </c>
      <c r="J1511" s="3" t="inlineStr">
        <is>
          <t>SRC_SEMIANALYSIS_INFERENCEX; ASSUMP_NUMERIC_ACCELERATOR_MIX</t>
        </is>
      </c>
      <c r="K1511" s="3" t="inlineStr">
        <is>
          <t>ASSUMP_STARGATE_RAMP; ASSUMP_MS_OPENAI_ATTRIBUTION; ASSUMP_NUMERIC_ACCELERATOR_MIX; ASSUMP_INFERENCE_SHARE_NOT_FACT_60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361729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264396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1517" s="3" t="inlineStr">
        <is>
          <t>SRC_OPENAI_GPT41_DOCS; SRC_OPENAI_STARGATE_ORACLE; SRC_OPENAI_STARGATE_PROGRESS; SRC_SEMIANALYSIS_INFERENCEX; ASSUMP_NUMERIC_ACCELERATOR_MIX</t>
        </is>
      </c>
      <c r="K1517" s="3" t="inlineStr">
        <is>
          <t>ASSUMP_STARGATE_RAMP; ASSUMP_MS_OPENAI_ATTRIBUTION; ASSUMP_NUMERIC_ACCELERATOR_MIX; ASSUMP_INFERENCE_SHARE_NOT_FACT_60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13592069568000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4961105392320000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568432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h200_share*h200_reference + b200_share*b200_reference + gb200_share*gb200_reference + purpose_built_share*purpose_built_reference</t>
        </is>
      </c>
      <c r="I1532" s="3" t="inlineStr">
        <is>
          <t>Selected InferenceX proxy model: gptoss120b. Each GPU-generation reference is public benchmark input or documented B200 placeholder, not measured company production throughput.</t>
        </is>
      </c>
      <c r="J1532" s="3" t="inlineStr">
        <is>
          <t>SRC_SEMIANALYSIS_INFERENCEX; ASSUMP_NUMERIC_ACCELERATOR_MIX</t>
        </is>
      </c>
      <c r="K1532" s="3" t="inlineStr">
        <is>
          <t>ASSUMP_STARGATE_RAMP; ASSUMP_MS_OPENAI_ATTRIBUTION; ASSUMP_NUMERIC_ACCELERATOR_MIX; ASSUMP_INFERENCE_SHARE_NOT_FACT_60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Closed-model, reasoning, long-context and SLO mismatch is made explicit rather than hiding it in the benchmark.</t>
        </is>
      </c>
      <c r="J1533" s="3" t="inlineStr">
        <is>
          <t>SRC_SEMIANALYSIS_INFERENCEX; ASSUMP_NUMERIC_ACCELERATOR_MIX</t>
        </is>
      </c>
      <c r="K1533" s="3" t="inlineStr">
        <is>
          <t>ASSUMP_STARGATE_RAMP; ASSUMP_MS_OPENAI_ATTRIBUTION; ASSUMP_NUMERIC_ACCELERATOR_MIX; ASSUMP_INFERENCE_SHARE_NOT_FACT_60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284216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it is intentionally below the raw public reference unless the commercial workload is closely matched.</t>
        </is>
      </c>
      <c r="J1534" s="3" t="inlineStr">
        <is>
          <t>SRC_SEMIANALYSIS_INFERENCEX; ASSUMP_NUMERIC_ACCELERATOR_MIX</t>
        </is>
      </c>
      <c r="K1534" s="3" t="inlineStr">
        <is>
          <t>ASSUMP_STARGATE_RAMP; ASSUMP_MS_OPENAI_ATTRIBUTION; ASSUMP_NUMERIC_ACCELERATOR_MIX; ASSUMP_INFERENCE_SHARE_NOT_FACT_60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361729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284216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1540" s="3" t="inlineStr">
        <is>
          <t>SRC_OPENAI_GPT41_DOCS; SRC_OPENAI_STARGATE_ORACLE; SRC_OPENAI_STARGATE_PROGRESS; SRC_SEMIANALYSIS_INFERENCEX; ASSUMP_NUMERIC_ACCELERATOR_MIX</t>
        </is>
      </c>
      <c r="K1540" s="3" t="inlineStr">
        <is>
          <t>ASSUMP_STARGATE_RAMP; ASSUMP_MS_OPENAI_ATTRIBUTION; ASSUMP_NUMERIC_ACCELERATOR_MIX; ASSUMP_INFERENCE_SHARE_NOT_FACT_60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36024036940800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1.3148773483392e+16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608428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h200_share*h200_reference + b200_share*b200_reference + gb200_share*gb200_reference + purpose_built_share*purpose_built_reference</t>
        </is>
      </c>
      <c r="I1555" s="3" t="inlineStr">
        <is>
          <t>Selected InferenceX proxy model: gptoss120b. Each GPU-generation reference is public benchmark input or documented B200 placeholder, not measured company production throughput.</t>
        </is>
      </c>
      <c r="J1555" s="3" t="inlineStr">
        <is>
          <t>SRC_SEMIANALYSIS_INFERENCEX; ASSUMP_NUMERIC_ACCELERATOR_MIX</t>
        </is>
      </c>
      <c r="K1555" s="3" t="inlineStr">
        <is>
          <t>ASSUMP_STARGATE_RAMP; ASSUMP_MS_OPENAI_ATTRIBUTION; ASSUMP_NUMERIC_ACCELERATOR_MIX; ASSUMP_INFERENCE_SHARE_NOT_FACT_60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Closed-model, reasoning, long-context and SLO mismatch is made explicit rather than hiding it in the benchmark.</t>
        </is>
      </c>
      <c r="J1556" s="3" t="inlineStr">
        <is>
          <t>SRC_SEMIANALYSIS_INFERENCEX; ASSUMP_NUMERIC_ACCELERATOR_MIX</t>
        </is>
      </c>
      <c r="K1556" s="3" t="inlineStr">
        <is>
          <t>ASSUMP_STARGATE_RAMP; ASSUMP_MS_OPENAI_ATTRIBUTION; ASSUMP_NUMERIC_ACCELERATOR_MIX; ASSUMP_INFERENCE_SHARE_NOT_FACT_60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304214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it is intentionally below the raw public reference unless the commercial workload is closely matched.</t>
        </is>
      </c>
      <c r="J1557" s="3" t="inlineStr">
        <is>
          <t>SRC_SEMIANALYSIS_INFERENCEX; ASSUMP_NUMERIC_ACCELERATOR_MIX</t>
        </is>
      </c>
      <c r="K1557" s="3" t="inlineStr">
        <is>
          <t>ASSUMP_STARGATE_RAMP; ASSUMP_MS_OPENAI_ATTRIBUTION; ASSUMP_NUMERIC_ACCELERATOR_MIX; ASSUMP_INFERENCE_SHARE_NOT_FACT_60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361729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304214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1563" s="3" t="inlineStr">
        <is>
          <t>SRC_OPENAI_GPT41_DOCS; SRC_OPENAI_STARGATE_ORACLE; SRC_OPENAI_STARGATE_PROGRESS; SRC_SEMIANALYSIS_INFERENCEX; ASSUMP_NUMERIC_ACCELERATOR_MIX</t>
        </is>
      </c>
      <c r="K1563" s="3" t="inlineStr">
        <is>
          <t>ASSUMP_STARGATE_RAMP; ASSUMP_MS_OPENAI_ATTRIBUTION; ASSUMP_NUMERIC_ACCELERATOR_MIX; ASSUMP_INFERENCE_SHARE_NOT_FACT_60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64869133132800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2.3677233593472e+16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648069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h200_share*h200_reference + b200_share*b200_reference + gb200_share*gb200_reference + purpose_built_share*purpose_built_reference</t>
        </is>
      </c>
      <c r="I1578" s="3" t="inlineStr">
        <is>
          <t>Selected InferenceX proxy model: gptoss120b. Each GPU-generation reference is public benchmark input or documented B200 placeholder, not measured company production throughput.</t>
        </is>
      </c>
      <c r="J1578" s="3" t="inlineStr">
        <is>
          <t>SRC_SEMIANALYSIS_INFERENCEX; ASSUMP_NUMERIC_ACCELERATOR_MIX</t>
        </is>
      </c>
      <c r="K1578" s="3" t="inlineStr">
        <is>
          <t>ASSUMP_STARGATE_RAMP; ASSUMP_MS_OPENAI_ATTRIBUTION; ASSUMP_NUMERIC_ACCELERATOR_MIX; ASSUMP_INFERENCE_SHARE_NOT_FACT_60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Closed-model, reasoning, long-context and SLO mismatch is made explicit rather than hiding it in the benchmark.</t>
        </is>
      </c>
      <c r="J1579" s="3" t="inlineStr">
        <is>
          <t>SRC_SEMIANALYSIS_INFERENCEX; ASSUMP_NUMERIC_ACCELERATOR_MIX</t>
        </is>
      </c>
      <c r="K1579" s="3" t="inlineStr">
        <is>
          <t>ASSUMP_STARGATE_RAMP; ASSUMP_MS_OPENAI_ATTRIBUTION; ASSUMP_NUMERIC_ACCELERATOR_MIX; ASSUMP_INFERENCE_SHARE_NOT_FACT_60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324034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it is intentionally below the raw public reference unless the commercial workload is closely matched.</t>
        </is>
      </c>
      <c r="J1580" s="3" t="inlineStr">
        <is>
          <t>SRC_SEMIANALYSIS_INFERENCEX; ASSUMP_NUMERIC_ACCELERATOR_MIX</t>
        </is>
      </c>
      <c r="K1580" s="3" t="inlineStr">
        <is>
          <t>ASSUMP_STARGATE_RAMP; ASSUMP_MS_OPENAI_ATTRIBUTION; ASSUMP_NUMERIC_ACCELERATOR_MIX; ASSUMP_INFERENCE_SHARE_NOT_FACT_60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361729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324034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1586" s="3" t="inlineStr">
        <is>
          <t>SRC_OPENAI_GPT41_DOCS; SRC_OPENAI_STARGATE_ORACLE; SRC_OPENAI_STARGATE_PROGRESS; SRC_SEMIANALYSIS_INFERENCEX; ASSUMP_NUMERIC_ACCELERATOR_MIX</t>
        </is>
      </c>
      <c r="K1586" s="3" t="inlineStr">
        <is>
          <t>ASSUMP_STARGATE_RAMP; ASSUMP_MS_OPENAI_ATTRIBUTION; ASSUMP_NUMERIC_ACCELERATOR_MIX; ASSUMP_INFERENCE_SHARE_NOT_FACT_60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100787535360000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3.67874504064e+16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688064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h200_share*h200_reference + b200_share*b200_reference + gb200_share*gb200_reference + purpose_built_share*purpose_built_reference</t>
        </is>
      </c>
      <c r="I1601" s="3" t="inlineStr">
        <is>
          <t>Selected InferenceX proxy model: gptoss120b. Each GPU-generation reference is public benchmark input or documented B200 placeholder, not measured company production throughput.</t>
        </is>
      </c>
      <c r="J1601" s="3" t="inlineStr">
        <is>
          <t>SRC_SEMIANALYSIS_INFERENCEX; ASSUMP_NUMERIC_ACCELERATOR_MIX</t>
        </is>
      </c>
      <c r="K1601" s="3" t="inlineStr">
        <is>
          <t>ASSUMP_STARGATE_RAMP; ASSUMP_MS_OPENAI_ATTRIBUTION; ASSUMP_NUMERIC_ACCELERATOR_MIX; ASSUMP_INFERENCE_SHARE_NOT_FACT_60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Closed-model, reasoning, long-context and SLO mismatch is made explicit rather than hiding it in the benchmark.</t>
        </is>
      </c>
      <c r="J1602" s="3" t="inlineStr">
        <is>
          <t>SRC_SEMIANALYSIS_INFERENCEX; ASSUMP_NUMERIC_ACCELERATOR_MIX</t>
        </is>
      </c>
      <c r="K1602" s="3" t="inlineStr">
        <is>
          <t>ASSUMP_STARGATE_RAMP; ASSUMP_MS_OPENAI_ATTRIBUTION; ASSUMP_NUMERIC_ACCELERATOR_MIX; ASSUMP_INFERENCE_SHARE_NOT_FACT_60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344032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it is intentionally below the raw public reference unless the commercial workload is closely matched.</t>
        </is>
      </c>
      <c r="J1603" s="3" t="inlineStr">
        <is>
          <t>SRC_SEMIANALYSIS_INFERENCEX; ASSUMP_NUMERIC_ACCELERATOR_MIX</t>
        </is>
      </c>
      <c r="K1603" s="3" t="inlineStr">
        <is>
          <t>ASSUMP_STARGATE_RAMP; ASSUMP_MS_OPENAI_ATTRIBUTION; ASSUMP_NUMERIC_ACCELERATOR_MIX; ASSUMP_INFERENCE_SHARE_NOT_FACT_60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361729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344032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1609" s="3" t="inlineStr">
        <is>
          <t>SRC_OPENAI_GPT41_DOCS; SRC_OPENAI_STARGATE_ORACLE; SRC_OPENAI_STARGATE_PROGRESS; SRC_SEMIANALYSIS_INFERENCEX; ASSUMP_NUMERIC_ACCELERATOR_MIX</t>
        </is>
      </c>
      <c r="K1609" s="3" t="inlineStr">
        <is>
          <t>ASSUMP_STARGATE_RAMP; ASSUMP_MS_OPENAI_ATTRIBUTION; ASSUMP_NUMERIC_ACCELERATOR_MIX; ASSUMP_INFERENCE_SHARE_NOT_FACT_60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144519861657600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5.2749749505024e+16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655148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h200_share*h200_reference + b200_share*b200_reference + gb200_share*gb200_reference + purpose_built_share*purpose_built_reference</t>
        </is>
      </c>
      <c r="I1624" s="3" t="inlineStr">
        <is>
          <t>Selected InferenceX proxy model: gptoss120b. Each GPU-generation reference is public benchmark input or documented B200 placeholder, not measured company production throughput.</t>
        </is>
      </c>
      <c r="J1624" s="3" t="inlineStr">
        <is>
          <t>SRC_SEMIANALYSIS_INFERENCEX; ASSUMP_NUMERIC_ACCELERATOR_MIX</t>
        </is>
      </c>
      <c r="K1624" s="3" t="inlineStr">
        <is>
          <t>ASSUMP_POWER_RAMP; ASSUMP_CLOSED_MODEL_BAND; ASSUMP_NUMERIC_ACCELERATOR_MIX; ASSUMP_INFERENCE_SHARE_NOT_FACT_60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1625" s="3" t="inlineStr">
        <is>
          <t>SRC_SEMIANALYSIS_INFERENCEX; ASSUMP_NUMERIC_ACCELERATOR_MIX</t>
        </is>
      </c>
      <c r="K1625" s="3" t="inlineStr">
        <is>
          <t>ASSUMP_POWER_RAMP; ASSUMP_CLOSED_MODEL_BAND; ASSUMP_NUMERIC_ACCELERATOR_MIX; ASSUMP_INFERENCE_SHARE_NOT_FACT_60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327574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it is intentionally below the raw public reference unless the commercial workload is closely matched.</t>
        </is>
      </c>
      <c r="J1626" s="3" t="inlineStr">
        <is>
          <t>SRC_SEMIANALYSIS_INFERENCEX; ASSUMP_NUMERIC_ACCELERATOR_MIX</t>
        </is>
      </c>
      <c r="K1626" s="3" t="inlineStr">
        <is>
          <t>ASSUMP_POWER_RAMP; ASSUMP_CLOSED_MODEL_BAND; ASSUMP_NUMERIC_ACCELERATOR_MIX; ASSUMP_INFERENCE_SHARE_NOT_FACT_60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361729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327574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1632" s="3" t="inlineStr">
        <is>
          <t>SRC_ANTHROPIC_CLAUDE_DOCS; SRC_ANTHROPIC_AMAZON_COMPUTE; SRC_AWS_RAINIER_ACTIVE; SRC_SEMIANALYSIS_INFERENCEX; ASSUMP_NUMERIC_ACCELERATOR_MIX</t>
        </is>
      </c>
      <c r="K1632" s="3" t="inlineStr">
        <is>
          <t>ASSUMP_POWER_RAMP; ASSUMP_CLOSED_MODEL_BAND; ASSUMP_NUMERIC_ACCELERATOR_MIX; ASSUMP_INFERENCE_SHARE_NOT_FACT_60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10726607174400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3915211618656000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677092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h200_share*h200_reference + b200_share*b200_reference + gb200_share*gb200_reference + purpose_built_share*purpose_built_reference</t>
        </is>
      </c>
      <c r="I1647" s="3" t="inlineStr">
        <is>
          <t>Selected InferenceX proxy model: gptoss120b. Each GPU-generation reference is public benchmark input or documented B200 placeholder, not measured company production throughput.</t>
        </is>
      </c>
      <c r="J1647" s="3" t="inlineStr">
        <is>
          <t>SRC_SEMIANALYSIS_INFERENCEX; ASSUMP_NUMERIC_ACCELERATOR_MIX</t>
        </is>
      </c>
      <c r="K1647" s="3" t="inlineStr">
        <is>
          <t>ASSUMP_POWER_RAMP; ASSUMP_CLOSED_MODEL_BAND; ASSUMP_NUMERIC_ACCELERATOR_MIX; ASSUMP_INFERENCE_SHARE_NOT_FACT_60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1648" s="3" t="inlineStr">
        <is>
          <t>SRC_SEMIANALYSIS_INFERENCEX; ASSUMP_NUMERIC_ACCELERATOR_MIX</t>
        </is>
      </c>
      <c r="K1648" s="3" t="inlineStr">
        <is>
          <t>ASSUMP_POWER_RAMP; ASSUMP_CLOSED_MODEL_BAND; ASSUMP_NUMERIC_ACCELERATOR_MIX; ASSUMP_INFERENCE_SHARE_NOT_FACT_60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338546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it is intentionally below the raw public reference unless the commercial workload is closely matched.</t>
        </is>
      </c>
      <c r="J1649" s="3" t="inlineStr">
        <is>
          <t>SRC_SEMIANALYSIS_INFERENCEX; ASSUMP_NUMERIC_ACCELERATOR_MIX</t>
        </is>
      </c>
      <c r="K1649" s="3" t="inlineStr">
        <is>
          <t>ASSUMP_POWER_RAMP; ASSUMP_CLOSED_MODEL_BAND; ASSUMP_NUMERIC_ACCELERATOR_MIX; ASSUMP_INFERENCE_SHARE_NOT_FACT_60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361729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338546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1655" s="3" t="inlineStr">
        <is>
          <t>SRC_ANTHROPIC_CLAUDE_DOCS; SRC_ANTHROPIC_AMAZON_COMPUTE; SRC_AWS_RAINIER_ACTIVE; SRC_SEMIANALYSIS_INFERENCEX; ASSUMP_NUMERIC_ACCELERATOR_MIX</t>
        </is>
      </c>
      <c r="K1655" s="3" t="inlineStr">
        <is>
          <t>ASSUMP_POWER_RAMP; ASSUMP_CLOSED_MODEL_BAND; ASSUMP_NUMERIC_ACCELERATOR_MIX; ASSUMP_INFERENCE_SHARE_NOT_FACT_60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26062083590400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9512660510496000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694789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h200_share*h200_reference + b200_share*b200_reference + gb200_share*gb200_reference + purpose_built_share*purpose_built_reference</t>
        </is>
      </c>
      <c r="I1670" s="3" t="inlineStr">
        <is>
          <t>Selected InferenceX proxy model: gptoss120b. Each GPU-generation reference is public benchmark input or documented B200 placeholder, not measured company production throughput.</t>
        </is>
      </c>
      <c r="J1670" s="3" t="inlineStr">
        <is>
          <t>SRC_SEMIANALYSIS_INFERENCEX; ASSUMP_NUMERIC_ACCELERATOR_MIX</t>
        </is>
      </c>
      <c r="K1670" s="3" t="inlineStr">
        <is>
          <t>ASSUMP_POWER_RAMP; ASSUMP_CLOSED_MODEL_BAND; ASSUMP_NUMERIC_ACCELERATOR_MIX; ASSUMP_INFERENCE_SHARE_NOT_FACT_60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1671" s="3" t="inlineStr">
        <is>
          <t>SRC_SEMIANALYSIS_INFERENCEX; ASSUMP_NUMERIC_ACCELERATOR_MIX</t>
        </is>
      </c>
      <c r="K1671" s="3" t="inlineStr">
        <is>
          <t>ASSUMP_POWER_RAMP; ASSUMP_CLOSED_MODEL_BAND; ASSUMP_NUMERIC_ACCELERATOR_MIX; ASSUMP_INFERENCE_SHARE_NOT_FACT_60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347394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it is intentionally below the raw public reference unless the commercial workload is closely matched.</t>
        </is>
      </c>
      <c r="J1672" s="3" t="inlineStr">
        <is>
          <t>SRC_SEMIANALYSIS_INFERENCEX; ASSUMP_NUMERIC_ACCELERATOR_MIX</t>
        </is>
      </c>
      <c r="K1672" s="3" t="inlineStr">
        <is>
          <t>ASSUMP_POWER_RAMP; ASSUMP_CLOSED_MODEL_BAND; ASSUMP_NUMERIC_ACCELERATOR_MIX; ASSUMP_INFERENCE_SHARE_NOT_FACT_60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361729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347394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1678" s="3" t="inlineStr">
        <is>
          <t>SRC_ANTHROPIC_CLAUDE_DOCS; SRC_ANTHROPIC_AMAZON_COMPUTE; SRC_AWS_RAINIER_ACTIVE; SRC_SEMIANALYSIS_INFERENCEX; ASSUMP_NUMERIC_ACCELERATOR_MIX</t>
        </is>
      </c>
      <c r="K1678" s="3" t="inlineStr">
        <is>
          <t>ASSUMP_POWER_RAMP; ASSUMP_CLOSED_MODEL_BAND; ASSUMP_NUMERIC_ACCELERATOR_MIX; ASSUMP_INFERENCE_SHARE_NOT_FACT_60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44782143667200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1.6345482438528e+16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708239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h200_share*h200_reference + b200_share*b200_reference + gb200_share*gb200_reference + purpose_built_share*purpose_built_reference</t>
        </is>
      </c>
      <c r="I1693" s="3" t="inlineStr">
        <is>
          <t>Selected InferenceX proxy model: gptoss120b. Each GPU-generation reference is public benchmark input or documented B200 placeholder, not measured company production throughput.</t>
        </is>
      </c>
      <c r="J1693" s="3" t="inlineStr">
        <is>
          <t>SRC_SEMIANALYSIS_INFERENCEX; ASSUMP_NUMERIC_ACCELERATOR_MIX</t>
        </is>
      </c>
      <c r="K1693" s="3" t="inlineStr">
        <is>
          <t>ASSUMP_POWER_RAMP; ASSUMP_CLOSED_MODEL_BAND; ASSUMP_NUMERIC_ACCELERATOR_MIX; ASSUMP_INFERENCE_SHARE_NOT_FACT_60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1694" s="3" t="inlineStr">
        <is>
          <t>SRC_SEMIANALYSIS_INFERENCEX; ASSUMP_NUMERIC_ACCELERATOR_MIX</t>
        </is>
      </c>
      <c r="K1694" s="3" t="inlineStr">
        <is>
          <t>ASSUMP_POWER_RAMP; ASSUMP_CLOSED_MODEL_BAND; ASSUMP_NUMERIC_ACCELERATOR_MIX; ASSUMP_INFERENCE_SHARE_NOT_FACT_60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354120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it is intentionally below the raw public reference unless the commercial workload is closely matched.</t>
        </is>
      </c>
      <c r="J1695" s="3" t="inlineStr">
        <is>
          <t>SRC_SEMIANALYSIS_INFERENCEX; ASSUMP_NUMERIC_ACCELERATOR_MIX</t>
        </is>
      </c>
      <c r="K1695" s="3" t="inlineStr">
        <is>
          <t>ASSUMP_POWER_RAMP; ASSUMP_CLOSED_MODEL_BAND; ASSUMP_NUMERIC_ACCELERATOR_MIX; ASSUMP_INFERENCE_SHARE_NOT_FACT_60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361729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354120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1701" s="3" t="inlineStr">
        <is>
          <t>SRC_ANTHROPIC_CLAUDE_DOCS; SRC_ANTHROPIC_AMAZON_COMPUTE; SRC_AWS_RAINIER_ACTIVE; SRC_SEMIANALYSIS_INFERENCEX; ASSUMP_NUMERIC_ACCELERATOR_MIX</t>
        </is>
      </c>
      <c r="K1701" s="3" t="inlineStr">
        <is>
          <t>ASSUMP_POWER_RAMP; ASSUMP_CLOSED_MODEL_BAND; ASSUMP_NUMERIC_ACCELERATOR_MIX; ASSUMP_INFERENCE_SHARE_NOT_FACT_60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66821594112000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2.438988185088e+16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718149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h200_share*h200_reference + b200_share*b200_reference + gb200_share*gb200_reference + purpose_built_share*purpose_built_reference</t>
        </is>
      </c>
      <c r="I1716" s="3" t="inlineStr">
        <is>
          <t>Selected InferenceX proxy model: gptoss120b. Each GPU-generation reference is public benchmark input or documented B200 placeholder, not measured company production throughput.</t>
        </is>
      </c>
      <c r="J1716" s="3" t="inlineStr">
        <is>
          <t>SRC_SEMIANALYSIS_INFERENCEX; ASSUMP_NUMERIC_ACCELERATOR_MIX</t>
        </is>
      </c>
      <c r="K1716" s="3" t="inlineStr">
        <is>
          <t>ASSUMP_POWER_RAMP; ASSUMP_CLOSED_MODEL_BAND; ASSUMP_NUMERIC_ACCELERATOR_MIX; ASSUMP_INFERENCE_SHARE_NOT_FACT_60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1717" s="3" t="inlineStr">
        <is>
          <t>SRC_SEMIANALYSIS_INFERENCEX; ASSUMP_NUMERIC_ACCELERATOR_MIX</t>
        </is>
      </c>
      <c r="K1717" s="3" t="inlineStr">
        <is>
          <t>ASSUMP_POWER_RAMP; ASSUMP_CLOSED_MODEL_BAND; ASSUMP_NUMERIC_ACCELERATOR_MIX; ASSUMP_INFERENCE_SHARE_NOT_FACT_60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359074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it is intentionally below the raw public reference unless the commercial workload is closely matched.</t>
        </is>
      </c>
      <c r="J1718" s="3" t="inlineStr">
        <is>
          <t>SRC_SEMIANALYSIS_INFERENCEX; ASSUMP_NUMERIC_ACCELERATOR_MIX</t>
        </is>
      </c>
      <c r="K1718" s="3" t="inlineStr">
        <is>
          <t>ASSUMP_POWER_RAMP; ASSUMP_CLOSED_MODEL_BAND; ASSUMP_NUMERIC_ACCELERATOR_MIX; ASSUMP_INFERENCE_SHARE_NOT_FACT_60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361729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359074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1724" s="3" t="inlineStr">
        <is>
          <t>SRC_ANTHROPIC_CLAUDE_DOCS; SRC_ANTHROPIC_AMAZON_COMPUTE; SRC_AWS_RAINIER_ACTIVE; SRC_SEMIANALYSIS_INFERENCEX; ASSUMP_NUMERIC_ACCELERATOR_MIX</t>
        </is>
      </c>
      <c r="K1724" s="3" t="inlineStr">
        <is>
          <t>ASSUMP_POWER_RAMP; ASSUMP_CLOSED_MODEL_BAND; ASSUMP_NUMERIC_ACCELERATOR_MIX; ASSUMP_INFERENCE_SHARE_NOT_FACT_60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92017165017600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3.3586265231424e+16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63732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h200_share*h200_reference + b200_share*b200_reference + gb200_share*gb200_reference + purpose_built_share*purpose_built_reference</t>
        </is>
      </c>
      <c r="I1739" s="3" t="inlineStr">
        <is>
          <t>Selected InferenceX proxy model: dsr1. Each GPU-generation reference is public benchmark input or documented B200 placeholder, not measured company production throughput.</t>
        </is>
      </c>
      <c r="J1739" s="3" t="inlineStr">
        <is>
          <t>SRC_SEMIANALYSIS_INFERENCEX; ASSUMP_NUMERIC_ACCELERATOR_MIX</t>
        </is>
      </c>
      <c r="K1739" s="3" t="inlineStr">
        <is>
          <t>ASSUMP_MOE_EFFICIENCY; ASSUMP_CN_CAPACITY_TRANSPARENCY; ASSUMP_NUMERIC_ACCELERATOR_MIX; ASSUMP_INFERENCE_SHARE_NOT_FACT_60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Closed-model, reasoning, long-context and SLO mismatch is made explicit rather than hiding it in the benchmark.</t>
        </is>
      </c>
      <c r="J1740" s="3" t="inlineStr">
        <is>
          <t>SRC_SEMIANALYSIS_INFERENCEX; ASSUMP_NUMERIC_ACCELERATOR_MIX</t>
        </is>
      </c>
      <c r="K1740" s="3" t="inlineStr">
        <is>
          <t>ASSUMP_MOE_EFFICIENCY; ASSUMP_CN_CAPACITY_TRANSPARENCY; ASSUMP_NUMERIC_ACCELERATOR_MIX; ASSUMP_INFERENCE_SHARE_NOT_FACT_60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54172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it is intentionally below the raw public reference unless the commercial workload is closely matched.</t>
        </is>
      </c>
      <c r="J1741" s="3" t="inlineStr">
        <is>
          <t>SRC_SEMIANALYSIS_INFERENCEX; ASSUMP_NUMERIC_ACCELERATOR_MIX</t>
        </is>
      </c>
      <c r="K1741" s="3" t="inlineStr">
        <is>
          <t>ASSUMP_MOE_EFFICIENCY; ASSUMP_CN_CAPACITY_TRANSPARENCY; ASSUMP_NUMERIC_ACCELERATOR_MIX; ASSUMP_INFERENCE_SHARE_NOT_FACT_60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55315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54172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1747" s="3" t="inlineStr">
        <is>
          <t>SRC_DEEPSEEK_V3; SRC_DEEPSEEK_R1; SRC_DEEPSEEK_H800_INFERENCE; SRC_SEMIANALYSIS_INFERENCEX; ASSUMP_NUMERIC_ACCELERATOR_MIX</t>
        </is>
      </c>
      <c r="K1747" s="3" t="inlineStr">
        <is>
          <t>ASSUMP_MOE_EFFICIENCY; ASSUMP_CN_CAPACITY_TRANSPARENCY; ASSUMP_NUMERIC_ACCELERATOR_MIX; ASSUMP_INFERENCE_SHARE_NOT_FACT_60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285508108800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104210459712000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64006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h200_share*h200_reference + b200_share*b200_reference + gb200_share*gb200_reference + purpose_built_share*purpose_built_reference</t>
        </is>
      </c>
      <c r="I1762" s="3" t="inlineStr">
        <is>
          <t>Selected InferenceX proxy model: dsr1. Each GPU-generation reference is public benchmark input or documented B200 placeholder, not measured company production throughput.</t>
        </is>
      </c>
      <c r="J1762" s="3" t="inlineStr">
        <is>
          <t>SRC_SEMIANALYSIS_INFERENCEX; ASSUMP_NUMERIC_ACCELERATOR_MIX</t>
        </is>
      </c>
      <c r="K1762" s="3" t="inlineStr">
        <is>
          <t>ASSUMP_MOE_EFFICIENCY; ASSUMP_CN_CAPACITY_TRANSPARENCY; ASSUMP_NUMERIC_ACCELERATOR_MIX; ASSUMP_INFERENCE_SHARE_NOT_FACT_60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Closed-model, reasoning, long-context and SLO mismatch is made explicit rather than hiding it in the benchmark.</t>
        </is>
      </c>
      <c r="J1763" s="3" t="inlineStr">
        <is>
          <t>SRC_SEMIANALYSIS_INFERENCEX; ASSUMP_NUMERIC_ACCELERATOR_MIX</t>
        </is>
      </c>
      <c r="K1763" s="3" t="inlineStr">
        <is>
          <t>ASSUMP_MOE_EFFICIENCY; ASSUMP_CN_CAPACITY_TRANSPARENCY; ASSUMP_NUMERIC_ACCELERATOR_MIX; ASSUMP_INFERENCE_SHARE_NOT_FACT_60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54405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it is intentionally below the raw public reference unless the commercial workload is closely matched.</t>
        </is>
      </c>
      <c r="J1764" s="3" t="inlineStr">
        <is>
          <t>SRC_SEMIANALYSIS_INFERENCEX; ASSUMP_NUMERIC_ACCELERATOR_MIX</t>
        </is>
      </c>
      <c r="K1764" s="3" t="inlineStr">
        <is>
          <t>ASSUMP_MOE_EFFICIENCY; ASSUMP_CN_CAPACITY_TRANSPARENCY; ASSUMP_NUMERIC_ACCELERATOR_MIX; ASSUMP_INFERENCE_SHARE_NOT_FACT_60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55315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54405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1770" s="3" t="inlineStr">
        <is>
          <t>SRC_DEEPSEEK_V3; SRC_DEEPSEEK_R1; SRC_DEEPSEEK_H800_INFERENCE; SRC_SEMIANALYSIS_INFERENCEX; ASSUMP_NUMERIC_ACCELERATOR_MIX</t>
        </is>
      </c>
      <c r="K1770" s="3" t="inlineStr">
        <is>
          <t>ASSUMP_MOE_EFFICIENCY; ASSUMP_CN_CAPACITY_TRANSPARENCY; ASSUMP_NUMERIC_ACCELERATOR_MIX; ASSUMP_INFERENCE_SHARE_NOT_FACT_60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860208336000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313976042640000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64282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h200_share*h200_reference + b200_share*b200_reference + gb200_share*gb200_reference + purpose_built_share*purpose_built_reference</t>
        </is>
      </c>
      <c r="I1785" s="3" t="inlineStr">
        <is>
          <t>Selected InferenceX proxy model: dsr1. Each GPU-generation reference is public benchmark input or documented B200 placeholder, not measured company production throughput.</t>
        </is>
      </c>
      <c r="J1785" s="3" t="inlineStr">
        <is>
          <t>SRC_SEMIANALYSIS_INFERENCEX; ASSUMP_NUMERIC_ACCELERATOR_MIX</t>
        </is>
      </c>
      <c r="K1785" s="3" t="inlineStr">
        <is>
          <t>ASSUMP_MOE_EFFICIENCY; ASSUMP_CN_CAPACITY_TRANSPARENCY; ASSUMP_NUMERIC_ACCELERATOR_MIX; ASSUMP_INFERENCE_SHARE_NOT_FACT_60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Closed-model, reasoning, long-context and SLO mismatch is made explicit rather than hiding it in the benchmark.</t>
        </is>
      </c>
      <c r="J1786" s="3" t="inlineStr">
        <is>
          <t>SRC_SEMIANALYSIS_INFERENCEX; ASSUMP_NUMERIC_ACCELERATOR_MIX</t>
        </is>
      </c>
      <c r="K1786" s="3" t="inlineStr">
        <is>
          <t>ASSUMP_MOE_EFFICIENCY; ASSUMP_CN_CAPACITY_TRANSPARENCY; ASSUMP_NUMERIC_ACCELERATOR_MIX; ASSUMP_INFERENCE_SHARE_NOT_FACT_60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54640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it is intentionally below the raw public reference unless the commercial workload is closely matched.</t>
        </is>
      </c>
      <c r="J1787" s="3" t="inlineStr">
        <is>
          <t>SRC_SEMIANALYSIS_INFERENCEX; ASSUMP_NUMERIC_ACCELERATOR_MIX</t>
        </is>
      </c>
      <c r="K1787" s="3" t="inlineStr">
        <is>
          <t>ASSUMP_MOE_EFFICIENCY; ASSUMP_CN_CAPACITY_TRANSPARENCY; ASSUMP_NUMERIC_ACCELERATOR_MIX; ASSUMP_INFERENCE_SHARE_NOT_FACT_60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55315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54640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1793" s="3" t="inlineStr">
        <is>
          <t>SRC_DEEPSEEK_V3; SRC_DEEPSEEK_R1; SRC_DEEPSEEK_H800_INFERENCE; SRC_SEMIANALYSIS_INFERENCEX; ASSUMP_NUMERIC_ACCELERATOR_MIX</t>
        </is>
      </c>
      <c r="K1793" s="3" t="inlineStr">
        <is>
          <t>ASSUMP_MOE_EFFICIENCY; ASSUMP_CN_CAPACITY_TRANSPARENCY; ASSUMP_NUMERIC_ACCELERATOR_MIX; ASSUMP_INFERENCE_SHARE_NOT_FACT_60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1515407616000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553123779840000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64556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h200_share*h200_reference + b200_share*b200_reference + gb200_share*gb200_reference + purpose_built_share*purpose_built_reference</t>
        </is>
      </c>
      <c r="I1808" s="3" t="inlineStr">
        <is>
          <t>Selected InferenceX proxy model: dsr1. Each GPU-generation reference is public benchmark input or documented B200 placeholder, not measured company production throughput.</t>
        </is>
      </c>
      <c r="J1808" s="3" t="inlineStr">
        <is>
          <t>SRC_SEMIANALYSIS_INFERENCEX; ASSUMP_NUMERIC_ACCELERATOR_MIX</t>
        </is>
      </c>
      <c r="K1808" s="3" t="inlineStr">
        <is>
          <t>ASSUMP_MOE_EFFICIENCY; ASSUMP_CN_CAPACITY_TRANSPARENCY; ASSUMP_NUMERIC_ACCELERATOR_MIX; ASSUMP_INFERENCE_SHARE_NOT_FACT_60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Closed-model, reasoning, long-context and SLO mismatch is made explicit rather than hiding it in the benchmark.</t>
        </is>
      </c>
      <c r="J1809" s="3" t="inlineStr">
        <is>
          <t>SRC_SEMIANALYSIS_INFERENCEX; ASSUMP_NUMERIC_ACCELERATOR_MIX</t>
        </is>
      </c>
      <c r="K1809" s="3" t="inlineStr">
        <is>
          <t>ASSUMP_MOE_EFFICIENCY; ASSUMP_CN_CAPACITY_TRANSPARENCY; ASSUMP_NUMERIC_ACCELERATOR_MIX; ASSUMP_INFERENCE_SHARE_NOT_FACT_60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54873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it is intentionally below the raw public reference unless the commercial workload is closely matched.</t>
        </is>
      </c>
      <c r="J1810" s="3" t="inlineStr">
        <is>
          <t>SRC_SEMIANALYSIS_INFERENCEX; ASSUMP_NUMERIC_ACCELERATOR_MIX</t>
        </is>
      </c>
      <c r="K1810" s="3" t="inlineStr">
        <is>
          <t>ASSUMP_MOE_EFFICIENCY; ASSUMP_CN_CAPACITY_TRANSPARENCY; ASSUMP_NUMERIC_ACCELERATOR_MIX; ASSUMP_INFERENCE_SHARE_NOT_FACT_60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55315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54873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1816" s="3" t="inlineStr">
        <is>
          <t>SRC_DEEPSEEK_V3; SRC_DEEPSEEK_R1; SRC_DEEPSEEK_H800_INFERENCE; SRC_SEMIANALYSIS_INFERENCEX; ASSUMP_NUMERIC_ACCELERATOR_MIX</t>
        </is>
      </c>
      <c r="K1816" s="3" t="inlineStr">
        <is>
          <t>ASSUMP_MOE_EFFICIENCY; ASSUMP_CN_CAPACITY_TRANSPARENCY; ASSUMP_NUMERIC_ACCELERATOR_MIX; ASSUMP_INFERENCE_SHARE_NOT_FACT_60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2261469974400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825436540656000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64832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h200_share*h200_reference + b200_share*b200_reference + gb200_share*gb200_reference + purpose_built_share*purpose_built_reference</t>
        </is>
      </c>
      <c r="I1831" s="3" t="inlineStr">
        <is>
          <t>Selected InferenceX proxy model: dsr1. Each GPU-generation reference is public benchmark input or documented B200 placeholder, not measured company production throughput.</t>
        </is>
      </c>
      <c r="J1831" s="3" t="inlineStr">
        <is>
          <t>SRC_SEMIANALYSIS_INFERENCEX; ASSUMP_NUMERIC_ACCELERATOR_MIX</t>
        </is>
      </c>
      <c r="K1831" s="3" t="inlineStr">
        <is>
          <t>ASSUMP_MOE_EFFICIENCY; ASSUMP_CN_CAPACITY_TRANSPARENCY; ASSUMP_NUMERIC_ACCELERATOR_MIX; ASSUMP_INFERENCE_SHARE_NOT_FACT_60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Closed-model, reasoning, long-context and SLO mismatch is made explicit rather than hiding it in the benchmark.</t>
        </is>
      </c>
      <c r="J1832" s="3" t="inlineStr">
        <is>
          <t>SRC_SEMIANALYSIS_INFERENCEX; ASSUMP_NUMERIC_ACCELERATOR_MIX</t>
        </is>
      </c>
      <c r="K1832" s="3" t="inlineStr">
        <is>
          <t>ASSUMP_MOE_EFFICIENCY; ASSUMP_CN_CAPACITY_TRANSPARENCY; ASSUMP_NUMERIC_ACCELERATOR_MIX; ASSUMP_INFERENCE_SHARE_NOT_FACT_60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55107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it is intentionally below the raw public reference unless the commercial workload is closely matched.</t>
        </is>
      </c>
      <c r="J1833" s="3" t="inlineStr">
        <is>
          <t>SRC_SEMIANALYSIS_INFERENCEX; ASSUMP_NUMERIC_ACCELERATOR_MIX</t>
        </is>
      </c>
      <c r="K1833" s="3" t="inlineStr">
        <is>
          <t>ASSUMP_MOE_EFFICIENCY; ASSUMP_CN_CAPACITY_TRANSPARENCY; ASSUMP_NUMERIC_ACCELERATOR_MIX; ASSUMP_INFERENCE_SHARE_NOT_FACT_60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55315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55107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1839" s="3" t="inlineStr">
        <is>
          <t>SRC_DEEPSEEK_V3; SRC_DEEPSEEK_R1; SRC_DEEPSEEK_H800_INFERENCE; SRC_SEMIANALYSIS_INFERENCEX; ASSUMP_NUMERIC_ACCELERATOR_MIX</t>
        </is>
      </c>
      <c r="K1839" s="3" t="inlineStr">
        <is>
          <t>ASSUMP_MOE_EFFICIENCY; ASSUMP_CN_CAPACITY_TRANSPARENCY; ASSUMP_NUMERIC_ACCELERATOR_MIX; ASSUMP_INFERENCE_SHARE_NOT_FACT_60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3099570364800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1131343183152000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129718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h200_share*h200_reference + b200_share*b200_reference + gb200_share*gb200_reference + purpose_built_share*purpose_built_reference</t>
        </is>
      </c>
      <c r="I1854" s="3" t="inlineStr">
        <is>
          <t>Selected InferenceX proxy model: qwen3.5. Each GPU-generation reference is public benchmark input or documented B200 placeholder, not measured company production throughput.</t>
        </is>
      </c>
      <c r="J1854" s="3" t="inlineStr">
        <is>
          <t>SRC_SEMIANALYSIS_INFERENCEX; ASSUMP_NUMERIC_ACCELERATOR_MIX</t>
        </is>
      </c>
      <c r="K1854" s="3" t="inlineStr">
        <is>
          <t>ASSUMP_MOE_EFFICIENCY; ASSUMP_CN_CAPACITY_TRANSPARENCY; ASSUMP_NUMERIC_ACCELERATOR_MIX; ASSUMP_INFERENCE_SHARE_NOT_FACT_60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Closed-model, reasoning, long-context and SLO mismatch is made explicit rather than hiding it in the benchmark.</t>
        </is>
      </c>
      <c r="J1855" s="3" t="inlineStr">
        <is>
          <t>SRC_SEMIANALYSIS_INFERENCEX; ASSUMP_NUMERIC_ACCELERATOR_MIX</t>
        </is>
      </c>
      <c r="K1855" s="3" t="inlineStr">
        <is>
          <t>ASSUMP_MOE_EFFICIENCY; ASSUMP_CN_CAPACITY_TRANSPARENCY; ASSUMP_NUMERIC_ACCELERATOR_MIX; ASSUMP_INFERENCE_SHARE_NOT_FACT_60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116746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it is intentionally below the raw public reference unless the commercial workload is closely matched.</t>
        </is>
      </c>
      <c r="J1856" s="3" t="inlineStr">
        <is>
          <t>SRC_SEMIANALYSIS_INFERENCEX; ASSUMP_NUMERIC_ACCELERATOR_MIX</t>
        </is>
      </c>
      <c r="K1856" s="3" t="inlineStr">
        <is>
          <t>ASSUMP_MOE_EFFICIENCY; ASSUMP_CN_CAPACITY_TRANSPARENCY; ASSUMP_NUMERIC_ACCELERATOR_MIX; ASSUMP_INFERENCE_SHARE_NOT_FACT_60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160508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116746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1862" s="3" t="inlineStr">
        <is>
          <t>SRC_QWEN3_GITHUB; SRC_ALIBABA_QWEN_GPU_DEPLOY; SRC_SEMIANALYSIS_INFERENCEX; ASSUMP_NUMERIC_ACCELERATOR_MIX</t>
        </is>
      </c>
      <c r="K1862" s="3" t="inlineStr">
        <is>
          <t>ASSUMP_MOE_EFFICIENCY; ASSUMP_CN_CAPACITY_TRANSPARENCY; ASSUMP_NUMERIC_ACCELERATOR_MIX; ASSUMP_INFERENCE_SHARE_NOT_FACT_60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2683103270400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979332693696000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139619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h200_share*h200_reference + b200_share*b200_reference + gb200_share*gb200_reference + purpose_built_share*purpose_built_reference</t>
        </is>
      </c>
      <c r="I1877" s="3" t="inlineStr">
        <is>
          <t>Selected InferenceX proxy model: qwen3.5. Each GPU-generation reference is public benchmark input or documented B200 placeholder, not measured company production throughput.</t>
        </is>
      </c>
      <c r="J1877" s="3" t="inlineStr">
        <is>
          <t>SRC_SEMIANALYSIS_INFERENCEX; ASSUMP_NUMERIC_ACCELERATOR_MIX</t>
        </is>
      </c>
      <c r="K1877" s="3" t="inlineStr">
        <is>
          <t>ASSUMP_MOE_EFFICIENCY; ASSUMP_CN_CAPACITY_TRANSPARENCY; ASSUMP_NUMERIC_ACCELERATOR_MIX; ASSUMP_INFERENCE_SHARE_NOT_FACT_60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Closed-model, reasoning, long-context and SLO mismatch is made explicit rather than hiding it in the benchmark.</t>
        </is>
      </c>
      <c r="J1878" s="3" t="inlineStr">
        <is>
          <t>SRC_SEMIANALYSIS_INFERENCEX; ASSUMP_NUMERIC_ACCELERATOR_MIX</t>
        </is>
      </c>
      <c r="K1878" s="3" t="inlineStr">
        <is>
          <t>ASSUMP_MOE_EFFICIENCY; ASSUMP_CN_CAPACITY_TRANSPARENCY; ASSUMP_NUMERIC_ACCELERATOR_MIX; ASSUMP_INFERENCE_SHARE_NOT_FACT_60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125657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it is intentionally below the raw public reference unless the commercial workload is closely matched.</t>
        </is>
      </c>
      <c r="J1879" s="3" t="inlineStr">
        <is>
          <t>SRC_SEMIANALYSIS_INFERENCEX; ASSUMP_NUMERIC_ACCELERATOR_MIX</t>
        </is>
      </c>
      <c r="K1879" s="3" t="inlineStr">
        <is>
          <t>ASSUMP_MOE_EFFICIENCY; ASSUMP_CN_CAPACITY_TRANSPARENCY; ASSUMP_NUMERIC_ACCELERATOR_MIX; ASSUMP_INFERENCE_SHARE_NOT_FACT_60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160508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125657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1885" s="3" t="inlineStr">
        <is>
          <t>SRC_QWEN3_GITHUB; SRC_ALIBABA_QWEN_GPU_DEPLOY; SRC_SEMIANALYSIS_INFERENCEX; ASSUMP_NUMERIC_ACCELERATOR_MIX</t>
        </is>
      </c>
      <c r="K1885" s="3" t="inlineStr">
        <is>
          <t>ASSUMP_MOE_EFFICIENCY; ASSUMP_CN_CAPACITY_TRANSPARENCY; ASSUMP_NUMERIC_ACCELERATOR_MIX; ASSUMP_INFERENCE_SHARE_NOT_FACT_60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6210069465600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2266675354944000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149609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h200_share*h200_reference + b200_share*b200_reference + gb200_share*gb200_reference + purpose_built_share*purpose_built_reference</t>
        </is>
      </c>
      <c r="I1900" s="3" t="inlineStr">
        <is>
          <t>Selected InferenceX proxy model: qwen3.5. Each GPU-generation reference is public benchmark input or documented B200 placeholder, not measured company production throughput.</t>
        </is>
      </c>
      <c r="J1900" s="3" t="inlineStr">
        <is>
          <t>SRC_SEMIANALYSIS_INFERENCEX; ASSUMP_NUMERIC_ACCELERATOR_MIX</t>
        </is>
      </c>
      <c r="K1900" s="3" t="inlineStr">
        <is>
          <t>ASSUMP_MOE_EFFICIENCY; ASSUMP_CN_CAPACITY_TRANSPARENCY; ASSUMP_NUMERIC_ACCELERATOR_MIX; ASSUMP_INFERENCE_SHARE_NOT_FACT_60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Closed-model, reasoning, long-context and SLO mismatch is made explicit rather than hiding it in the benchmark.</t>
        </is>
      </c>
      <c r="J1901" s="3" t="inlineStr">
        <is>
          <t>SRC_SEMIANALYSIS_INFERENCEX; ASSUMP_NUMERIC_ACCELERATOR_MIX</t>
        </is>
      </c>
      <c r="K1901" s="3" t="inlineStr">
        <is>
          <t>ASSUMP_MOE_EFFICIENCY; ASSUMP_CN_CAPACITY_TRANSPARENCY; ASSUMP_NUMERIC_ACCELERATOR_MIX; ASSUMP_INFERENCE_SHARE_NOT_FACT_60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134648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it is intentionally below the raw public reference unless the commercial workload is closely matched.</t>
        </is>
      </c>
      <c r="J1902" s="3" t="inlineStr">
        <is>
          <t>SRC_SEMIANALYSIS_INFERENCEX; ASSUMP_NUMERIC_ACCELERATOR_MIX</t>
        </is>
      </c>
      <c r="K1902" s="3" t="inlineStr">
        <is>
          <t>ASSUMP_MOE_EFFICIENCY; ASSUMP_CN_CAPACITY_TRANSPARENCY; ASSUMP_NUMERIC_ACCELERATOR_MIX; ASSUMP_INFERENCE_SHARE_NOT_FACT_60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160508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134648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1908" s="3" t="inlineStr">
        <is>
          <t>SRC_QWEN3_GITHUB; SRC_ALIBABA_QWEN_GPU_DEPLOY; SRC_SEMIANALYSIS_INFERENCEX; ASSUMP_NUMERIC_ACCELERATOR_MIX</t>
        </is>
      </c>
      <c r="K1908" s="3" t="inlineStr">
        <is>
          <t>ASSUMP_MOE_EFFICIENCY; ASSUMP_CN_CAPACITY_TRANSPARENCY; ASSUMP_NUMERIC_ACCELERATOR_MIX; ASSUMP_INFERENCE_SHARE_NOT_FACT_60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10702900224000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3906558581760000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159511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h200_share*h200_reference + b200_share*b200_reference + gb200_share*gb200_reference + purpose_built_share*purpose_built_reference</t>
        </is>
      </c>
      <c r="I1923" s="3" t="inlineStr">
        <is>
          <t>Selected InferenceX proxy model: qwen3.5. Each GPU-generation reference is public benchmark input or documented B200 placeholder, not measured company production throughput.</t>
        </is>
      </c>
      <c r="J1923" s="3" t="inlineStr">
        <is>
          <t>SRC_SEMIANALYSIS_INFERENCEX; ASSUMP_NUMERIC_ACCELERATOR_MIX</t>
        </is>
      </c>
      <c r="K1923" s="3" t="inlineStr">
        <is>
          <t>ASSUMP_MOE_EFFICIENCY; ASSUMP_CN_CAPACITY_TRANSPARENCY; ASSUMP_NUMERIC_ACCELERATOR_MIX; ASSUMP_INFERENCE_SHARE_NOT_FACT_60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Closed-model, reasoning, long-context and SLO mismatch is made explicit rather than hiding it in the benchmark.</t>
        </is>
      </c>
      <c r="J1924" s="3" t="inlineStr">
        <is>
          <t>SRC_SEMIANALYSIS_INFERENCEX; ASSUMP_NUMERIC_ACCELERATOR_MIX</t>
        </is>
      </c>
      <c r="K1924" s="3" t="inlineStr">
        <is>
          <t>ASSUMP_MOE_EFFICIENCY; ASSUMP_CN_CAPACITY_TRANSPARENCY; ASSUMP_NUMERIC_ACCELERATOR_MIX; ASSUMP_INFERENCE_SHARE_NOT_FACT_60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143560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it is intentionally below the raw public reference unless the commercial workload is closely matched.</t>
        </is>
      </c>
      <c r="J1925" s="3" t="inlineStr">
        <is>
          <t>SRC_SEMIANALYSIS_INFERENCEX; ASSUMP_NUMERIC_ACCELERATOR_MIX</t>
        </is>
      </c>
      <c r="K1925" s="3" t="inlineStr">
        <is>
          <t>ASSUMP_MOE_EFFICIENCY; ASSUMP_CN_CAPACITY_TRANSPARENCY; ASSUMP_NUMERIC_ACCELERATOR_MIX; ASSUMP_INFERENCE_SHARE_NOT_FACT_60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160508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143560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1931" s="3" t="inlineStr">
        <is>
          <t>SRC_QWEN3_GITHUB; SRC_ALIBABA_QWEN_GPU_DEPLOY; SRC_SEMIANALYSIS_INFERENCEX; ASSUMP_NUMERIC_ACCELERATOR_MIX</t>
        </is>
      </c>
      <c r="K1931" s="3" t="inlineStr">
        <is>
          <t>ASSUMP_MOE_EFFICIENCY; ASSUMP_CN_CAPACITY_TRANSPARENCY; ASSUMP_NUMERIC_ACCELERATOR_MIX; ASSUMP_INFERENCE_SHARE_NOT_FACT_60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16273502208000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5939828305920000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169501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h200_share*h200_reference + b200_share*b200_reference + gb200_share*gb200_reference + purpose_built_share*purpose_built_reference</t>
        </is>
      </c>
      <c r="I1946" s="3" t="inlineStr">
        <is>
          <t>Selected InferenceX proxy model: qwen3.5. Each GPU-generation reference is public benchmark input or documented B200 placeholder, not measured company production throughput.</t>
        </is>
      </c>
      <c r="J1946" s="3" t="inlineStr">
        <is>
          <t>SRC_SEMIANALYSIS_INFERENCEX; ASSUMP_NUMERIC_ACCELERATOR_MIX</t>
        </is>
      </c>
      <c r="K1946" s="3" t="inlineStr">
        <is>
          <t>ASSUMP_MOE_EFFICIENCY; ASSUMP_CN_CAPACITY_TRANSPARENCY; ASSUMP_NUMERIC_ACCELERATOR_MIX; ASSUMP_INFERENCE_SHARE_NOT_FACT_60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Closed-model, reasoning, long-context and SLO mismatch is made explicit rather than hiding it in the benchmark.</t>
        </is>
      </c>
      <c r="J1947" s="3" t="inlineStr">
        <is>
          <t>SRC_SEMIANALYSIS_INFERENCEX; ASSUMP_NUMERIC_ACCELERATOR_MIX</t>
        </is>
      </c>
      <c r="K1947" s="3" t="inlineStr">
        <is>
          <t>ASSUMP_MOE_EFFICIENCY; ASSUMP_CN_CAPACITY_TRANSPARENCY; ASSUMP_NUMERIC_ACCELERATOR_MIX; ASSUMP_INFERENCE_SHARE_NOT_FACT_60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152551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it is intentionally below the raw public reference unless the commercial workload is closely matched.</t>
        </is>
      </c>
      <c r="J1948" s="3" t="inlineStr">
        <is>
          <t>SRC_SEMIANALYSIS_INFERENCEX; ASSUMP_NUMERIC_ACCELERATOR_MIX</t>
        </is>
      </c>
      <c r="K1948" s="3" t="inlineStr">
        <is>
          <t>ASSUMP_MOE_EFFICIENCY; ASSUMP_CN_CAPACITY_TRANSPARENCY; ASSUMP_NUMERIC_ACCELERATOR_MIX; ASSUMP_INFERENCE_SHARE_NOT_FACT_60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160508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152551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1954" s="3" t="inlineStr">
        <is>
          <t>SRC_QWEN3_GITHUB; SRC_ALIBABA_QWEN_GPU_DEPLOY; SRC_SEMIANALYSIS_INFERENCEX; ASSUMP_NUMERIC_ACCELERATOR_MIX</t>
        </is>
      </c>
      <c r="K1954" s="3" t="inlineStr">
        <is>
          <t>ASSUMP_MOE_EFFICIENCY; ASSUMP_CN_CAPACITY_TRANSPARENCY; ASSUMP_NUMERIC_ACCELERATOR_MIX; ASSUMP_INFERENCE_SHARE_NOT_FACT_60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23039350387200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8409362891328000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528791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h200_share*h200_reference + b200_share*b200_reference + gb200_share*gb200_reference + purpose_built_share*purpose_built_reference</t>
        </is>
      </c>
      <c r="I1969" s="3" t="inlineStr">
        <is>
          <t>Selected InferenceX proxy model: gptoss120b. Each GPU-generation reference is public benchmark input or documented B200 placeholder, not measured company production throughput.</t>
        </is>
      </c>
      <c r="J1969" s="3" t="inlineStr">
        <is>
          <t>SRC_SEMIANALYSIS_INFERENCEX; ASSUMP_NUMERIC_ACCELERATOR_MIX</t>
        </is>
      </c>
      <c r="K1969" s="3" t="inlineStr">
        <is>
          <t>ASSUMP_CN_CAPACITY_TRANSPARENCY; ASSUMP_APP_EMBEDDING; ASSUMP_NUMERIC_ACCELERATOR_MIX; ASSUMP_INFERENCE_SHARE_NOT_FACT_60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Closed-model, reasoning, long-context and SLO mismatch is made explicit rather than hiding it in the benchmark.</t>
        </is>
      </c>
      <c r="J1970" s="3" t="inlineStr">
        <is>
          <t>SRC_SEMIANALYSIS_INFERENCEX; ASSUMP_NUMERIC_ACCELERATOR_MIX</t>
        </is>
      </c>
      <c r="K1970" s="3" t="inlineStr">
        <is>
          <t>ASSUMP_CN_CAPACITY_TRANSPARENCY; ASSUMP_APP_EMBEDDING; ASSUMP_NUMERIC_ACCELERATOR_MIX; ASSUMP_INFERENCE_SHARE_NOT_FACT_60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317275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it is intentionally below the raw public reference unless the commercial workload is closely matched.</t>
        </is>
      </c>
      <c r="J1971" s="3" t="inlineStr">
        <is>
          <t>SRC_SEMIANALYSIS_INFERENCEX; ASSUMP_NUMERIC_ACCELERATOR_MIX</t>
        </is>
      </c>
      <c r="K1971" s="3" t="inlineStr">
        <is>
          <t>ASSUMP_CN_CAPACITY_TRANSPARENCY; ASSUMP_APP_EMBEDDING; ASSUMP_NUMERIC_ACCELERATOR_MIX; ASSUMP_INFERENCE_SHARE_NOT_FACT_60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434075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317275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1977" s="3" t="inlineStr">
        <is>
          <t>SRC_TENCENT_HUNYUAN; SRC_TENCENT_HY3; SRC_TENCENT_AI_INFRA_MOE; SRC_SEMIANALYSIS_INFERENCEX; ASSUMP_NUMERIC_ACCELERATOR_MIX</t>
        </is>
      </c>
      <c r="K1977" s="3" t="inlineStr">
        <is>
          <t>ASSUMP_CN_CAPACITY_TRANSPARENCY; ASSUMP_APP_EMBEDDING; ASSUMP_NUMERIC_ACCELERATOR_MIX; ASSUMP_INFERENCE_SHARE_NOT_FACT_60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5043911040000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1841027529600000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568432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h200_share*h200_reference + b200_share*b200_reference + gb200_share*gb200_reference + purpose_built_share*purpose_built_reference</t>
        </is>
      </c>
      <c r="I1992" s="3" t="inlineStr">
        <is>
          <t>Selected InferenceX proxy model: gptoss120b. Each GPU-generation reference is public benchmark input or documented B200 placeholder, not measured company production throughput.</t>
        </is>
      </c>
      <c r="J1992" s="3" t="inlineStr">
        <is>
          <t>SRC_SEMIANALYSIS_INFERENCEX; ASSUMP_NUMERIC_ACCELERATOR_MIX</t>
        </is>
      </c>
      <c r="K1992" s="3" t="inlineStr">
        <is>
          <t>ASSUMP_CN_CAPACITY_TRANSPARENCY; ASSUMP_APP_EMBEDDING; ASSUMP_NUMERIC_ACCELERATOR_MIX; ASSUMP_INFERENCE_SHARE_NOT_FACT_60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Closed-model, reasoning, long-context and SLO mismatch is made explicit rather than hiding it in the benchmark.</t>
        </is>
      </c>
      <c r="J1993" s="3" t="inlineStr">
        <is>
          <t>SRC_SEMIANALYSIS_INFERENCEX; ASSUMP_NUMERIC_ACCELERATOR_MIX</t>
        </is>
      </c>
      <c r="K1993" s="3" t="inlineStr">
        <is>
          <t>ASSUMP_CN_CAPACITY_TRANSPARENCY; ASSUMP_APP_EMBEDDING; ASSUMP_NUMERIC_ACCELERATOR_MIX; ASSUMP_INFERENCE_SHARE_NOT_FACT_60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341059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it is intentionally below the raw public reference unless the commercial workload is closely matched.</t>
        </is>
      </c>
      <c r="J1994" s="3" t="inlineStr">
        <is>
          <t>SRC_SEMIANALYSIS_INFERENCEX; ASSUMP_NUMERIC_ACCELERATOR_MIX</t>
        </is>
      </c>
      <c r="K1994" s="3" t="inlineStr">
        <is>
          <t>ASSUMP_CN_CAPACITY_TRANSPARENCY; ASSUMP_APP_EMBEDDING; ASSUMP_NUMERIC_ACCELERATOR_MIX; ASSUMP_INFERENCE_SHARE_NOT_FACT_60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434075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341059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2000" s="3" t="inlineStr">
        <is>
          <t>SRC_TENCENT_HUNYUAN; SRC_TENCENT_HY3; SRC_TENCENT_AI_INFRA_MOE; SRC_SEMIANALYSIS_INFERENCEX; ASSUMP_NUMERIC_ACCELERATOR_MIX</t>
        </is>
      </c>
      <c r="K2000" s="3" t="inlineStr">
        <is>
          <t>ASSUMP_CN_CAPACITY_TRANSPARENCY; ASSUMP_APP_EMBEDDING; ASSUMP_NUMERIC_ACCELERATOR_MIX; ASSUMP_INFERENCE_SHARE_NOT_FACT_60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12258479001600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4474344835584000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608428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h200_share*h200_reference + b200_share*b200_reference + gb200_share*gb200_reference + purpose_built_share*purpose_built_reference</t>
        </is>
      </c>
      <c r="I2015" s="3" t="inlineStr">
        <is>
          <t>Selected InferenceX proxy model: gptoss120b. Each GPU-generation reference is public benchmark input or documented B200 placeholder, not measured company production throughput.</t>
        </is>
      </c>
      <c r="J2015" s="3" t="inlineStr">
        <is>
          <t>SRC_SEMIANALYSIS_INFERENCEX; ASSUMP_NUMERIC_ACCELERATOR_MIX</t>
        </is>
      </c>
      <c r="K2015" s="3" t="inlineStr">
        <is>
          <t>ASSUMP_CN_CAPACITY_TRANSPARENCY; ASSUMP_APP_EMBEDDING; ASSUMP_NUMERIC_ACCELERATOR_MIX; ASSUMP_INFERENCE_SHARE_NOT_FACT_60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Closed-model, reasoning, long-context and SLO mismatch is made explicit rather than hiding it in the benchmark.</t>
        </is>
      </c>
      <c r="J2016" s="3" t="inlineStr">
        <is>
          <t>SRC_SEMIANALYSIS_INFERENCEX; ASSUMP_NUMERIC_ACCELERATOR_MIX</t>
        </is>
      </c>
      <c r="K2016" s="3" t="inlineStr">
        <is>
          <t>ASSUMP_CN_CAPACITY_TRANSPARENCY; ASSUMP_APP_EMBEDDING; ASSUMP_NUMERIC_ACCELERATOR_MIX; ASSUMP_INFERENCE_SHARE_NOT_FACT_60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365057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it is intentionally below the raw public reference unless the commercial workload is closely matched.</t>
        </is>
      </c>
      <c r="J2017" s="3" t="inlineStr">
        <is>
          <t>SRC_SEMIANALYSIS_INFERENCEX; ASSUMP_NUMERIC_ACCELERATOR_MIX</t>
        </is>
      </c>
      <c r="K2017" s="3" t="inlineStr">
        <is>
          <t>ASSUMP_CN_CAPACITY_TRANSPARENCY; ASSUMP_APP_EMBEDDING; ASSUMP_NUMERIC_ACCELERATOR_MIX; ASSUMP_INFERENCE_SHARE_NOT_FACT_60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434075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365057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2023" s="3" t="inlineStr">
        <is>
          <t>SRC_TENCENT_HUNYUAN; SRC_TENCENT_HY3; SRC_TENCENT_AI_INFRA_MOE; SRC_SEMIANALYSIS_INFERENCEX; ASSUMP_NUMERIC_ACCELERATOR_MIX</t>
        </is>
      </c>
      <c r="K2023" s="3" t="inlineStr">
        <is>
          <t>ASSUMP_CN_CAPACITY_TRANSPARENCY; ASSUMP_APP_EMBEDDING; ASSUMP_NUMERIC_ACCELERATOR_MIX; ASSUMP_INFERENCE_SHARE_NOT_FACT_60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21479369788800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7839969972912000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648069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h200_share*h200_reference + b200_share*b200_reference + gb200_share*gb200_reference + purpose_built_share*purpose_built_reference</t>
        </is>
      </c>
      <c r="I2038" s="3" t="inlineStr">
        <is>
          <t>Selected InferenceX proxy model: gptoss120b. Each GPU-generation reference is public benchmark input or documented B200 placeholder, not measured company production throughput.</t>
        </is>
      </c>
      <c r="J2038" s="3" t="inlineStr">
        <is>
          <t>SRC_SEMIANALYSIS_INFERENCEX; ASSUMP_NUMERIC_ACCELERATOR_MIX</t>
        </is>
      </c>
      <c r="K2038" s="3" t="inlineStr">
        <is>
          <t>ASSUMP_CN_CAPACITY_TRANSPARENCY; ASSUMP_APP_EMBEDDING; ASSUMP_NUMERIC_ACCELERATOR_MIX; ASSUMP_INFERENCE_SHARE_NOT_FACT_60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Closed-model, reasoning, long-context and SLO mismatch is made explicit rather than hiding it in the benchmark.</t>
        </is>
      </c>
      <c r="J2039" s="3" t="inlineStr">
        <is>
          <t>SRC_SEMIANALYSIS_INFERENCEX; ASSUMP_NUMERIC_ACCELERATOR_MIX</t>
        </is>
      </c>
      <c r="K2039" s="3" t="inlineStr">
        <is>
          <t>ASSUMP_CN_CAPACITY_TRANSPARENCY; ASSUMP_APP_EMBEDDING; ASSUMP_NUMERIC_ACCELERATOR_MIX; ASSUMP_INFERENCE_SHARE_NOT_FACT_60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388841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it is intentionally below the raw public reference unless the commercial workload is closely matched.</t>
        </is>
      </c>
      <c r="J2040" s="3" t="inlineStr">
        <is>
          <t>SRC_SEMIANALYSIS_INFERENCEX; ASSUMP_NUMERIC_ACCELERATOR_MIX</t>
        </is>
      </c>
      <c r="K2040" s="3" t="inlineStr">
        <is>
          <t>ASSUMP_CN_CAPACITY_TRANSPARENCY; ASSUMP_APP_EMBEDDING; ASSUMP_NUMERIC_ACCELERATOR_MIX; ASSUMP_INFERENCE_SHARE_NOT_FACT_60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434075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388841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2046" s="3" t="inlineStr">
        <is>
          <t>SRC_TENCENT_HUNYUAN; SRC_TENCENT_HY3; SRC_TENCENT_AI_INFRA_MOE; SRC_SEMIANALYSIS_INFERENCEX; ASSUMP_NUMERIC_ACCELERATOR_MIX</t>
        </is>
      </c>
      <c r="K2046" s="3" t="inlineStr">
        <is>
          <t>ASSUMP_CN_CAPACITY_TRANSPARENCY; ASSUMP_APP_EMBEDDING; ASSUMP_NUMERIC_ACCELERATOR_MIX; ASSUMP_INFERENCE_SHARE_NOT_FACT_60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32923945152000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1.201723998048e+16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688064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h200_share*h200_reference + b200_share*b200_reference + gb200_share*gb200_reference + purpose_built_share*purpose_built_reference</t>
        </is>
      </c>
      <c r="I2061" s="3" t="inlineStr">
        <is>
          <t>Selected InferenceX proxy model: gptoss120b. Each GPU-generation reference is public benchmark input or documented B200 placeholder, not measured company production throughput.</t>
        </is>
      </c>
      <c r="J2061" s="3" t="inlineStr">
        <is>
          <t>SRC_SEMIANALYSIS_INFERENCEX; ASSUMP_NUMERIC_ACCELERATOR_MIX</t>
        </is>
      </c>
      <c r="K2061" s="3" t="inlineStr">
        <is>
          <t>ASSUMP_CN_CAPACITY_TRANSPARENCY; ASSUMP_APP_EMBEDDING; ASSUMP_NUMERIC_ACCELERATOR_MIX; ASSUMP_INFERENCE_SHARE_NOT_FACT_60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Closed-model, reasoning, long-context and SLO mismatch is made explicit rather than hiding it in the benchmark.</t>
        </is>
      </c>
      <c r="J2062" s="3" t="inlineStr">
        <is>
          <t>SRC_SEMIANALYSIS_INFERENCEX; ASSUMP_NUMERIC_ACCELERATOR_MIX</t>
        </is>
      </c>
      <c r="K2062" s="3" t="inlineStr">
        <is>
          <t>ASSUMP_CN_CAPACITY_TRANSPARENCY; ASSUMP_APP_EMBEDDING; ASSUMP_NUMERIC_ACCELERATOR_MIX; ASSUMP_INFERENCE_SHARE_NOT_FACT_60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412838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it is intentionally below the raw public reference unless the commercial workload is closely matched.</t>
        </is>
      </c>
      <c r="J2063" s="3" t="inlineStr">
        <is>
          <t>SRC_SEMIANALYSIS_INFERENCEX; ASSUMP_NUMERIC_ACCELERATOR_MIX</t>
        </is>
      </c>
      <c r="K2063" s="3" t="inlineStr">
        <is>
          <t>ASSUMP_CN_CAPACITY_TRANSPARENCY; ASSUMP_APP_EMBEDDING; ASSUMP_NUMERIC_ACCELERATOR_MIX; ASSUMP_INFERENCE_SHARE_NOT_FACT_60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434075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412838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2069" s="3" t="inlineStr">
        <is>
          <t>SRC_TENCENT_HUNYUAN; SRC_TENCENT_HY3; SRC_TENCENT_AI_INFRA_MOE; SRC_SEMIANALYSIS_INFERENCEX; ASSUMP_NUMERIC_ACCELERATOR_MIX</t>
        </is>
      </c>
      <c r="K2069" s="3" t="inlineStr">
        <is>
          <t>ASSUMP_CN_CAPACITY_TRANSPARENCY; ASSUMP_APP_EMBEDDING; ASSUMP_NUMERIC_ACCELERATOR_MIX; ASSUMP_INFERENCE_SHARE_NOT_FACT_60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46762325395200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1.7068248769248e+16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548258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h200_share*h200_reference + b200_share*b200_reference + gb200_share*gb200_reference + purpose_built_share*purpose_built_reference</t>
        </is>
      </c>
      <c r="I2084" s="3" t="inlineStr">
        <is>
          <t>Selected InferenceX proxy model: gptoss120b. Each GPU-generation reference is public benchmark input or documented B200 placeholder, not measured company production throughput.</t>
        </is>
      </c>
      <c r="J2084" s="3" t="inlineStr">
        <is>
          <t>SRC_SEMIANALYSIS_INFERENCEX; ASSUMP_NUMERIC_ACCELERATOR_MIX</t>
        </is>
      </c>
      <c r="K2084" s="3" t="inlineStr">
        <is>
          <t>ASSUMP_POWER_RAMP; ASSUMP_MS_OPENAI_ATTRIBUTION; ASSUMP_NUMERIC_ACCELERATOR_MIX; ASSUMP_INFERENCE_SHARE_NOT_FACT_60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Closed-model, reasoning, long-context and SLO mismatch is made explicit rather than hiding it in the benchmark.</t>
        </is>
      </c>
      <c r="J2085" s="3" t="inlineStr">
        <is>
          <t>SRC_SEMIANALYSIS_INFERENCEX; ASSUMP_NUMERIC_ACCELERATOR_MIX</t>
        </is>
      </c>
      <c r="K2085" s="3" t="inlineStr">
        <is>
          <t>ASSUMP_POWER_RAMP; ASSUMP_MS_OPENAI_ATTRIBUTION; ASSUMP_NUMERIC_ACCELERATOR_MIX; ASSUMP_INFERENCE_SHARE_NOT_FACT_60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438606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it is intentionally below the raw public reference unless the commercial workload is closely matched.</t>
        </is>
      </c>
      <c r="J2086" s="3" t="inlineStr">
        <is>
          <t>SRC_SEMIANALYSIS_INFERENCEX; ASSUMP_NUMERIC_ACCELERATOR_MIX</t>
        </is>
      </c>
      <c r="K2086" s="3" t="inlineStr">
        <is>
          <t>ASSUMP_POWER_RAMP; ASSUMP_MS_OPENAI_ATTRIBUTION; ASSUMP_NUMERIC_ACCELERATOR_MIX; ASSUMP_INFERENCE_SHARE_NOT_FACT_60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578766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438606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092" s="3" t="inlineStr">
        <is>
          <t>SRC_MS_PHI; SRC_OPENAI_GPT41_DOCS; SRC_MS_PHI4_TECHREPORT; SRC_MS_MAIA200; SRC_SEMIANALYSIS_INFERENCEX; ASSUMP_NUMERIC_ACCELERATOR_MIX</t>
        </is>
      </c>
      <c r="K2092" s="3" t="inlineStr">
        <is>
          <t>ASSUMP_POWER_RAMP; ASSUMP_MS_OPENAI_ATTRIBUTION; ASSUMP_NUMERIC_ACCELERATOR_MIX; ASSUMP_INFERENCE_SHARE_NOT_FACT_60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30809088979200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1.1245317477408e+16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597809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h200_share*h200_reference + b200_share*b200_reference + gb200_share*gb200_reference + purpose_built_share*purpose_built_reference</t>
        </is>
      </c>
      <c r="I2107" s="3" t="inlineStr">
        <is>
          <t>Selected InferenceX proxy model: gptoss120b. Each GPU-generation reference is public benchmark input or documented B200 placeholder, not measured company production throughput.</t>
        </is>
      </c>
      <c r="J2107" s="3" t="inlineStr">
        <is>
          <t>SRC_SEMIANALYSIS_INFERENCEX; ASSUMP_NUMERIC_ACCELERATOR_MIX</t>
        </is>
      </c>
      <c r="K2107" s="3" t="inlineStr">
        <is>
          <t>ASSUMP_POWER_RAMP; ASSUMP_MS_OPENAI_ATTRIBUTION; ASSUMP_NUMERIC_ACCELERATOR_MIX; ASSUMP_INFERENCE_SHARE_NOT_FACT_60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Closed-model, reasoning, long-context and SLO mismatch is made explicit rather than hiding it in the benchmark.</t>
        </is>
      </c>
      <c r="J2108" s="3" t="inlineStr">
        <is>
          <t>SRC_SEMIANALYSIS_INFERENCEX; ASSUMP_NUMERIC_ACCELERATOR_MIX</t>
        </is>
      </c>
      <c r="K2108" s="3" t="inlineStr">
        <is>
          <t>ASSUMP_POWER_RAMP; ASSUMP_MS_OPENAI_ATTRIBUTION; ASSUMP_NUMERIC_ACCELERATOR_MIX; ASSUMP_INFERENCE_SHARE_NOT_FACT_60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478247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it is intentionally below the raw public reference unless the commercial workload is closely matched.</t>
        </is>
      </c>
      <c r="J2109" s="3" t="inlineStr">
        <is>
          <t>SRC_SEMIANALYSIS_INFERENCEX; ASSUMP_NUMERIC_ACCELERATOR_MIX</t>
        </is>
      </c>
      <c r="K2109" s="3" t="inlineStr">
        <is>
          <t>ASSUMP_POWER_RAMP; ASSUMP_MS_OPENAI_ATTRIBUTION; ASSUMP_NUMERIC_ACCELERATOR_MIX; ASSUMP_INFERENCE_SHARE_NOT_FACT_60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578766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478247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115" s="3" t="inlineStr">
        <is>
          <t>SRC_MS_PHI; SRC_OPENAI_GPT41_DOCS; SRC_MS_PHI4_TECHREPORT; SRC_MS_MAIA200; SRC_SEMIANALYSIS_INFERENCEX; ASSUMP_NUMERIC_ACCELERATOR_MIX</t>
        </is>
      </c>
      <c r="K2115" s="3" t="inlineStr">
        <is>
          <t>ASSUMP_POWER_RAMP; ASSUMP_MS_OPENAI_ATTRIBUTION; ASSUMP_NUMERIC_ACCELERATOR_MIX; ASSUMP_INFERENCE_SHARE_NOT_FACT_60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61113079843200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2.2306274142768e+16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639928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h200_share*h200_reference + b200_share*b200_reference + gb200_share*gb200_reference + purpose_built_share*purpose_built_reference</t>
        </is>
      </c>
      <c r="I2130" s="3" t="inlineStr">
        <is>
          <t>Selected InferenceX proxy model: gptoss120b. Each GPU-generation reference is public benchmark input or documented B200 placeholder, not measured company production throughput.</t>
        </is>
      </c>
      <c r="J2130" s="3" t="inlineStr">
        <is>
          <t>SRC_SEMIANALYSIS_INFERENCEX; ASSUMP_NUMERIC_ACCELERATOR_MIX</t>
        </is>
      </c>
      <c r="K2130" s="3" t="inlineStr">
        <is>
          <t>ASSUMP_POWER_RAMP; ASSUMP_MS_OPENAI_ATTRIBUTION; ASSUMP_NUMERIC_ACCELERATOR_MIX; ASSUMP_INFERENCE_SHARE_NOT_FACT_60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Closed-model, reasoning, long-context and SLO mismatch is made explicit rather than hiding it in the benchmark.</t>
        </is>
      </c>
      <c r="J2131" s="3" t="inlineStr">
        <is>
          <t>SRC_SEMIANALYSIS_INFERENCEX; ASSUMP_NUMERIC_ACCELERATOR_MIX</t>
        </is>
      </c>
      <c r="K2131" s="3" t="inlineStr">
        <is>
          <t>ASSUMP_POWER_RAMP; ASSUMP_MS_OPENAI_ATTRIBUTION; ASSUMP_NUMERIC_ACCELERATOR_MIX; ASSUMP_INFERENCE_SHARE_NOT_FACT_60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511942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it is intentionally below the raw public reference unless the commercial workload is closely matched.</t>
        </is>
      </c>
      <c r="J2132" s="3" t="inlineStr">
        <is>
          <t>SRC_SEMIANALYSIS_INFERENCEX; ASSUMP_NUMERIC_ACCELERATOR_MIX</t>
        </is>
      </c>
      <c r="K2132" s="3" t="inlineStr">
        <is>
          <t>ASSUMP_POWER_RAMP; ASSUMP_MS_OPENAI_ATTRIBUTION; ASSUMP_NUMERIC_ACCELERATOR_MIX; ASSUMP_INFERENCE_SHARE_NOT_FACT_60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578766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511942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138" s="3" t="inlineStr">
        <is>
          <t>SRC_MS_PHI; SRC_OPENAI_GPT41_DOCS; SRC_MS_PHI4_TECHREPORT; SRC_MS_MAIA200; SRC_SEMIANALYSIS_INFERENCEX; ASSUMP_NUMERIC_ACCELERATOR_MIX</t>
        </is>
      </c>
      <c r="K2138" s="3" t="inlineStr">
        <is>
          <t>ASSUMP_POWER_RAMP; ASSUMP_MS_OPENAI_ATTRIBUTION; ASSUMP_NUMERIC_ACCELERATOR_MIX; ASSUMP_INFERENCE_SHARE_NOT_FACT_60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101069637408000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3.689041765392e+16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675676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h200_share*h200_reference + b200_share*b200_reference + gb200_share*gb200_reference + purpose_built_share*purpose_built_reference</t>
        </is>
      </c>
      <c r="I2153" s="3" t="inlineStr">
        <is>
          <t>Selected InferenceX proxy model: gptoss120b. Each GPU-generation reference is public benchmark input or documented B200 placeholder, not measured company production throughput.</t>
        </is>
      </c>
      <c r="J2153" s="3" t="inlineStr">
        <is>
          <t>SRC_SEMIANALYSIS_INFERENCEX; ASSUMP_NUMERIC_ACCELERATOR_MIX</t>
        </is>
      </c>
      <c r="K2153" s="3" t="inlineStr">
        <is>
          <t>ASSUMP_POWER_RAMP; ASSUMP_MS_OPENAI_ATTRIBUTION; ASSUMP_NUMERIC_ACCELERATOR_MIX; ASSUMP_INFERENCE_SHARE_NOT_FACT_60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Closed-model, reasoning, long-context and SLO mismatch is made explicit rather than hiding it in the benchmark.</t>
        </is>
      </c>
      <c r="J2154" s="3" t="inlineStr">
        <is>
          <t>SRC_SEMIANALYSIS_INFERENCEX; ASSUMP_NUMERIC_ACCELERATOR_MIX</t>
        </is>
      </c>
      <c r="K2154" s="3" t="inlineStr">
        <is>
          <t>ASSUMP_POWER_RAMP; ASSUMP_MS_OPENAI_ATTRIBUTION; ASSUMP_NUMERIC_ACCELERATOR_MIX; ASSUMP_INFERENCE_SHARE_NOT_FACT_60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540541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it is intentionally below the raw public reference unless the commercial workload is closely matched.</t>
        </is>
      </c>
      <c r="J2155" s="3" t="inlineStr">
        <is>
          <t>SRC_SEMIANALYSIS_INFERENCEX; ASSUMP_NUMERIC_ACCELERATOR_MIX</t>
        </is>
      </c>
      <c r="K2155" s="3" t="inlineStr">
        <is>
          <t>ASSUMP_POWER_RAMP; ASSUMP_MS_OPENAI_ATTRIBUTION; ASSUMP_NUMERIC_ACCELERATOR_MIX; ASSUMP_INFERENCE_SHARE_NOT_FACT_60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578766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540541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161" s="3" t="inlineStr">
        <is>
          <t>SRC_MS_PHI; SRC_OPENAI_GPT41_DOCS; SRC_MS_PHI4_TECHREPORT; SRC_MS_MAIA200; SRC_SEMIANALYSIS_INFERENCEX; ASSUMP_NUMERIC_ACCELERATOR_MIX</t>
        </is>
      </c>
      <c r="K2161" s="3" t="inlineStr">
        <is>
          <t>ASSUMP_POWER_RAMP; ASSUMP_MS_OPENAI_ATTRIBUTION; ASSUMP_NUMERIC_ACCELERATOR_MIX; ASSUMP_INFERENCE_SHARE_NOT_FACT_60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151316885376000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5.523066316224e+16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703991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h200_share*h200_reference + b200_share*b200_reference + gb200_share*gb200_reference + purpose_built_share*purpose_built_reference</t>
        </is>
      </c>
      <c r="I2176" s="3" t="inlineStr">
        <is>
          <t>Selected InferenceX proxy model: gptoss120b. Each GPU-generation reference is public benchmark input or documented B200 placeholder, not measured company production throughput.</t>
        </is>
      </c>
      <c r="J2176" s="3" t="inlineStr">
        <is>
          <t>SRC_SEMIANALYSIS_INFERENCEX; ASSUMP_NUMERIC_ACCELERATOR_MIX</t>
        </is>
      </c>
      <c r="K2176" s="3" t="inlineStr">
        <is>
          <t>ASSUMP_POWER_RAMP; ASSUMP_MS_OPENAI_ATTRIBUTION; ASSUMP_NUMERIC_ACCELERATOR_MIX; ASSUMP_INFERENCE_SHARE_NOT_FACT_60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Closed-model, reasoning, long-context and SLO mismatch is made explicit rather than hiding it in the benchmark.</t>
        </is>
      </c>
      <c r="J2177" s="3" t="inlineStr">
        <is>
          <t>SRC_SEMIANALYSIS_INFERENCEX; ASSUMP_NUMERIC_ACCELERATOR_MIX</t>
        </is>
      </c>
      <c r="K2177" s="3" t="inlineStr">
        <is>
          <t>ASSUMP_POWER_RAMP; ASSUMP_MS_OPENAI_ATTRIBUTION; ASSUMP_NUMERIC_ACCELERATOR_MIX; ASSUMP_INFERENCE_SHARE_NOT_FACT_60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563193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it is intentionally below the raw public reference unless the commercial workload is closely matched.</t>
        </is>
      </c>
      <c r="J2178" s="3" t="inlineStr">
        <is>
          <t>SRC_SEMIANALYSIS_INFERENCEX; ASSUMP_NUMERIC_ACCELERATOR_MIX</t>
        </is>
      </c>
      <c r="K2178" s="3" t="inlineStr">
        <is>
          <t>ASSUMP_POWER_RAMP; ASSUMP_MS_OPENAI_ATTRIBUTION; ASSUMP_NUMERIC_ACCELERATOR_MIX; ASSUMP_INFERENCE_SHARE_NOT_FACT_60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578766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563193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2184" s="3" t="inlineStr">
        <is>
          <t>SRC_MS_PHI; SRC_OPENAI_GPT41_DOCS; SRC_MS_PHI4_TECHREPORT; SRC_MS_MAIA200; SRC_SEMIANALYSIS_INFERENCEX; ASSUMP_NUMERIC_ACCELERATOR_MIX</t>
        </is>
      </c>
      <c r="K2184" s="3" t="inlineStr">
        <is>
          <t>ASSUMP_POWER_RAMP; ASSUMP_MS_OPENAI_ATTRIBUTION; ASSUMP_NUMERIC_ACCELERATOR_MIX; ASSUMP_INFERENCE_SHARE_NOT_FACT_60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211767776870400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7.7295238557696e+16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684525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h200_share*h200_reference + b200_share*b200_reference + gb200_share*gb200_reference + purpose_built_share*purpose_built_reference</t>
        </is>
      </c>
      <c r="I2199" s="3" t="inlineStr">
        <is>
          <t>Selected InferenceX proxy model: gptoss120b. Each GPU-generation reference is public benchmark input or documented B200 placeholder, not measured company production throughput.</t>
        </is>
      </c>
      <c r="J2199" s="3" t="inlineStr">
        <is>
          <t>SRC_SEMIANALYSIS_INFERENCEX; ASSUMP_NUMERIC_ACCELERATOR_MIX</t>
        </is>
      </c>
      <c r="K2199" s="3" t="inlineStr">
        <is>
          <t>ASSUMP_TPU_EFFICIENCY; ASSUMP_POWER_RAMP; ASSUMP_NUMERIC_ACCELERATOR_MIX; ASSUMP_INFERENCE_SHARE_NOT_FACT_60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00" s="3" t="inlineStr">
        <is>
          <t>SRC_SEMIANALYSIS_INFERENCEX; ASSUMP_NUMERIC_ACCELERATOR_MIX</t>
        </is>
      </c>
      <c r="K2200" s="3" t="inlineStr">
        <is>
          <t>ASSUMP_TPU_EFFICIENCY; ASSUMP_POWER_RAMP; ASSUMP_NUMERIC_ACCELERATOR_MIX; ASSUMP_INFERENCE_SHARE_NOT_FACT_60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547620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it is intentionally below the raw public reference unless the commercial workload is closely matched.</t>
        </is>
      </c>
      <c r="J2201" s="3" t="inlineStr">
        <is>
          <t>SRC_SEMIANALYSIS_INFERENCEX; ASSUMP_NUMERIC_ACCELERATOR_MIX</t>
        </is>
      </c>
      <c r="K2201" s="3" t="inlineStr">
        <is>
          <t>ASSUMP_TPU_EFFICIENCY; ASSUMP_POWER_RAMP; ASSUMP_NUMERIC_ACCELERATOR_MIX; ASSUMP_INFERENCE_SHARE_NOT_FACT_60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578766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547620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07" s="3" t="inlineStr">
        <is>
          <t>SRC_GOOGLE_GEMINI_TOKENS; SRC_GOOGLE_IRONWOOD; SRC_GOOGLE_TPU_V6E; SRC_SEMIANALYSIS_INFERENCEX; ASSUMP_NUMERIC_ACCELERATOR_MIX</t>
        </is>
      </c>
      <c r="K2207" s="3" t="inlineStr">
        <is>
          <t>ASSUMP_TPU_EFFICIENCY; ASSUMP_POWER_RAMP; ASSUMP_NUMERIC_ACCELERATOR_MIX; ASSUMP_INFERENCE_SHARE_NOT_FACT_60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48923056512000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1.785691562688e+16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696205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h200_share*h200_reference + b200_share*b200_reference + gb200_share*gb200_reference + purpose_built_share*purpose_built_reference</t>
        </is>
      </c>
      <c r="I2222" s="3" t="inlineStr">
        <is>
          <t>Selected InferenceX proxy model: gptoss120b. Each GPU-generation reference is public benchmark input or documented B200 placeholder, not measured company production throughput.</t>
        </is>
      </c>
      <c r="J2222" s="3" t="inlineStr">
        <is>
          <t>SRC_SEMIANALYSIS_INFERENCEX; ASSUMP_NUMERIC_ACCELERATOR_MIX</t>
        </is>
      </c>
      <c r="K2222" s="3" t="inlineStr">
        <is>
          <t>ASSUMP_TPU_EFFICIENCY; ASSUMP_POWER_RAMP; ASSUMP_NUMERIC_ACCELERATOR_MIX; ASSUMP_INFERENCE_SHARE_NOT_FACT_60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23" s="3" t="inlineStr">
        <is>
          <t>SRC_SEMIANALYSIS_INFERENCEX; ASSUMP_NUMERIC_ACCELERATOR_MIX</t>
        </is>
      </c>
      <c r="K2223" s="3" t="inlineStr">
        <is>
          <t>ASSUMP_TPU_EFFICIENCY; ASSUMP_POWER_RAMP; ASSUMP_NUMERIC_ACCELERATOR_MIX; ASSUMP_INFERENCE_SHARE_NOT_FACT_60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556964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it is intentionally below the raw public reference unless the commercial workload is closely matched.</t>
        </is>
      </c>
      <c r="J2224" s="3" t="inlineStr">
        <is>
          <t>SRC_SEMIANALYSIS_INFERENCEX; ASSUMP_NUMERIC_ACCELERATOR_MIX</t>
        </is>
      </c>
      <c r="K2224" s="3" t="inlineStr">
        <is>
          <t>ASSUMP_TPU_EFFICIENCY; ASSUMP_POWER_RAMP; ASSUMP_NUMERIC_ACCELERATOR_MIX; ASSUMP_INFERENCE_SHARE_NOT_FACT_60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578766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556964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30" s="3" t="inlineStr">
        <is>
          <t>SRC_GOOGLE_GEMINI_TOKENS; SRC_GOOGLE_IRONWOOD; SRC_GOOGLE_TPU_V6E; SRC_SEMIANALYSIS_INFERENCEX; ASSUMP_NUMERIC_ACCELERATOR_MIX</t>
        </is>
      </c>
      <c r="K2230" s="3" t="inlineStr">
        <is>
          <t>ASSUMP_TPU_EFFICIENCY; ASSUMP_POWER_RAMP; ASSUMP_NUMERIC_ACCELERATOR_MIX; ASSUMP_INFERENCE_SHARE_NOT_FACT_60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84597930316800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3.0878244565632e+16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706115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h200_share*h200_reference + b200_share*b200_reference + gb200_share*gb200_reference + purpose_built_share*purpose_built_reference</t>
        </is>
      </c>
      <c r="I2245" s="3" t="inlineStr">
        <is>
          <t>Selected InferenceX proxy model: gptoss120b. Each GPU-generation reference is public benchmark input or documented B200 placeholder, not measured company production throughput.</t>
        </is>
      </c>
      <c r="J2245" s="3" t="inlineStr">
        <is>
          <t>SRC_SEMIANALYSIS_INFERENCEX; ASSUMP_NUMERIC_ACCELERATOR_MIX</t>
        </is>
      </c>
      <c r="K2245" s="3" t="inlineStr">
        <is>
          <t>ASSUMP_TPU_EFFICIENCY; ASSUMP_POWER_RAMP; ASSUMP_NUMERIC_ACCELERATOR_MIX; ASSUMP_INFERENCE_SHARE_NOT_FACT_60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46" s="3" t="inlineStr">
        <is>
          <t>SRC_SEMIANALYSIS_INFERENCEX; ASSUMP_NUMERIC_ACCELERATOR_MIX</t>
        </is>
      </c>
      <c r="K2246" s="3" t="inlineStr">
        <is>
          <t>ASSUMP_TPU_EFFICIENCY; ASSUMP_POWER_RAMP; ASSUMP_NUMERIC_ACCELERATOR_MIX; ASSUMP_INFERENCE_SHARE_NOT_FACT_60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564892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it is intentionally below the raw public reference unless the commercial workload is closely matched.</t>
        </is>
      </c>
      <c r="J2247" s="3" t="inlineStr">
        <is>
          <t>SRC_SEMIANALYSIS_INFERENCEX; ASSUMP_NUMERIC_ACCELERATOR_MIX</t>
        </is>
      </c>
      <c r="K2247" s="3" t="inlineStr">
        <is>
          <t>ASSUMP_TPU_EFFICIENCY; ASSUMP_POWER_RAMP; ASSUMP_NUMERIC_ACCELERATOR_MIX; ASSUMP_INFERENCE_SHARE_NOT_FACT_60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578766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564892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53" s="3" t="inlineStr">
        <is>
          <t>SRC_GOOGLE_GEMINI_TOKENS; SRC_GOOGLE_IRONWOOD; SRC_GOOGLE_TPU_V6E; SRC_SEMIANALYSIS_INFERENCEX; ASSUMP_NUMERIC_ACCELERATOR_MIX</t>
        </is>
      </c>
      <c r="K2253" s="3" t="inlineStr">
        <is>
          <t>ASSUMP_TPU_EFFICIENCY; ASSUMP_POWER_RAMP; ASSUMP_NUMERIC_ACCELERATOR_MIX; ASSUMP_INFERENCE_SHARE_NOT_FACT_60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127824665587200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4.6656002939328e+16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713902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h200_share*h200_reference + b200_share*b200_reference + gb200_share*gb200_reference + purpose_built_share*purpose_built_reference</t>
        </is>
      </c>
      <c r="I2268" s="3" t="inlineStr">
        <is>
          <t>Selected InferenceX proxy model: gptoss120b. Each GPU-generation reference is public benchmark input or documented B200 placeholder, not measured company production throughput.</t>
        </is>
      </c>
      <c r="J2268" s="3" t="inlineStr">
        <is>
          <t>SRC_SEMIANALYSIS_INFERENCEX; ASSUMP_NUMERIC_ACCELERATOR_MIX</t>
        </is>
      </c>
      <c r="K2268" s="3" t="inlineStr">
        <is>
          <t>ASSUMP_TPU_EFFICIENCY; ASSUMP_POWER_RAMP; ASSUMP_NUMERIC_ACCELERATOR_MIX; ASSUMP_INFERENCE_SHARE_NOT_FACT_60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69" s="3" t="inlineStr">
        <is>
          <t>SRC_SEMIANALYSIS_INFERENCEX; ASSUMP_NUMERIC_ACCELERATOR_MIX</t>
        </is>
      </c>
      <c r="K2269" s="3" t="inlineStr">
        <is>
          <t>ASSUMP_TPU_EFFICIENCY; ASSUMP_POWER_RAMP; ASSUMP_NUMERIC_ACCELERATOR_MIX; ASSUMP_INFERENCE_SHARE_NOT_FACT_60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571122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it is intentionally below the raw public reference unless the commercial workload is closely matched.</t>
        </is>
      </c>
      <c r="J2270" s="3" t="inlineStr">
        <is>
          <t>SRC_SEMIANALYSIS_INFERENCEX; ASSUMP_NUMERIC_ACCELERATOR_MIX</t>
        </is>
      </c>
      <c r="K2270" s="3" t="inlineStr">
        <is>
          <t>ASSUMP_TPU_EFFICIENCY; ASSUMP_POWER_RAMP; ASSUMP_NUMERIC_ACCELERATOR_MIX; ASSUMP_INFERENCE_SHARE_NOT_FACT_60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578766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571122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76" s="3" t="inlineStr">
        <is>
          <t>SRC_GOOGLE_GEMINI_TOKENS; SRC_GOOGLE_IRONWOOD; SRC_GOOGLE_TPU_V6E; SRC_SEMIANALYSIS_INFERENCEX; ASSUMP_NUMERIC_ACCELERATOR_MIX</t>
        </is>
      </c>
      <c r="K2276" s="3" t="inlineStr">
        <is>
          <t>ASSUMP_TPU_EFFICIENCY; ASSUMP_POWER_RAMP; ASSUMP_NUMERIC_ACCELERATOR_MIX; ASSUMP_INFERENCE_SHARE_NOT_FACT_60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178924755340800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6.5307535699392e+16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719919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h200_share*h200_reference + b200_share*b200_reference + gb200_share*gb200_reference + purpose_built_share*purpose_built_reference</t>
        </is>
      </c>
      <c r="I2291" s="3" t="inlineStr">
        <is>
          <t>Selected InferenceX proxy model: gptoss120b. Each GPU-generation reference is public benchmark input or documented B200 placeholder, not measured company production throughput.</t>
        </is>
      </c>
      <c r="J2291" s="3" t="inlineStr">
        <is>
          <t>SRC_SEMIANALYSIS_INFERENCEX; ASSUMP_NUMERIC_ACCELERATOR_MIX</t>
        </is>
      </c>
      <c r="K2291" s="3" t="inlineStr">
        <is>
          <t>ASSUMP_TPU_EFFICIENCY; ASSUMP_POWER_RAMP; ASSUMP_NUMERIC_ACCELERATOR_MIX; ASSUMP_INFERENCE_SHARE_NOT_FACT_60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Closed-model, reasoning, long-context and SLO mismatch is made explicit rather than hiding it in the benchmark.</t>
        </is>
      </c>
      <c r="J2292" s="3" t="inlineStr">
        <is>
          <t>SRC_SEMIANALYSIS_INFERENCEX; ASSUMP_NUMERIC_ACCELERATOR_MIX</t>
        </is>
      </c>
      <c r="K2292" s="3" t="inlineStr">
        <is>
          <t>ASSUMP_TPU_EFFICIENCY; ASSUMP_POWER_RAMP; ASSUMP_NUMERIC_ACCELERATOR_MIX; ASSUMP_INFERENCE_SHARE_NOT_FACT_60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575935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it is intentionally below the raw public reference unless the commercial workload is closely matched.</t>
        </is>
      </c>
      <c r="J2293" s="3" t="inlineStr">
        <is>
          <t>SRC_SEMIANALYSIS_INFERENCEX; ASSUMP_NUMERIC_ACCELERATOR_MIX</t>
        </is>
      </c>
      <c r="K2293" s="3" t="inlineStr">
        <is>
          <t>ASSUMP_TPU_EFFICIENCY; ASSUMP_POWER_RAMP; ASSUMP_NUMERIC_ACCELERATOR_MIX; ASSUMP_INFERENCE_SHARE_NOT_FACT_60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578766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575935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2299" s="3" t="inlineStr">
        <is>
          <t>SRC_GOOGLE_GEMINI_TOKENS; SRC_GOOGLE_IRONWOOD; SRC_GOOGLE_TPU_V6E; SRC_SEMIANALYSIS_INFERENCEX; ASSUMP_NUMERIC_ACCELERATOR_MIX</t>
        </is>
      </c>
      <c r="K2299" s="3" t="inlineStr">
        <is>
          <t>ASSUMP_TPU_EFFICIENCY; ASSUMP_POWER_RAMP; ASSUMP_NUMERIC_ACCELERATOR_MIX; ASSUMP_INFERENCE_SHARE_NOT_FACT_60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237508222032000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8.669050104168e+16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201780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h200_share*h200_reference + b200_share*b200_reference + gb200_share*gb200_reference + purpose_built_share*purpose_built_reference</t>
        </is>
      </c>
      <c r="I2314" s="3" t="inlineStr">
        <is>
          <t>Selected InferenceX proxy model: llama70b. Each GPU-generation reference is public benchmark input or documented B200 placeholder, not measured company production throughput.</t>
        </is>
      </c>
      <c r="J2314" s="3" t="inlineStr">
        <is>
          <t>SRC_SEMIANALYSIS_INFERENCEX; ASSUMP_NUMERIC_ACCELERATOR_MIX</t>
        </is>
      </c>
      <c r="K2314" s="3" t="inlineStr">
        <is>
          <t>ASSUMP_CONSUMER_AI_UTILIZATION; ASSUMP_POWER_RAMP; ASSUMP_NUMERIC_ACCELERATOR_MIX; ASSUMP_INFERENCE_SHARE_NOT_FACT_60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Closed-model, reasoning, long-context and SLO mismatch is made explicit rather than hiding it in the benchmark.</t>
        </is>
      </c>
      <c r="J2315" s="3" t="inlineStr">
        <is>
          <t>SRC_SEMIANALYSIS_INFERENCEX; ASSUMP_NUMERIC_ACCELERATOR_MIX</t>
        </is>
      </c>
      <c r="K2315" s="3" t="inlineStr">
        <is>
          <t>ASSUMP_CONSUMER_AI_UTILIZATION; ASSUMP_POWER_RAMP; ASSUMP_NUMERIC_ACCELERATOR_MIX; ASSUMP_INFERENCE_SHARE_NOT_FACT_60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201780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it is intentionally below the raw public reference unless the commercial workload is closely matched.</t>
        </is>
      </c>
      <c r="J2316" s="3" t="inlineStr">
        <is>
          <t>SRC_SEMIANALYSIS_INFERENCEX; ASSUMP_NUMERIC_ACCELERATOR_MIX</t>
        </is>
      </c>
      <c r="K2316" s="3" t="inlineStr">
        <is>
          <t>ASSUMP_CONSUMER_AI_UTILIZATION; ASSUMP_POWER_RAMP; ASSUMP_NUMERIC_ACCELERATOR_MIX; ASSUMP_INFERENCE_SHARE_NOT_FACT_60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200857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201780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322" s="3" t="inlineStr">
        <is>
          <t>SRC_META_LLAMA; SRC_META_LLAMA4_NVIDIA; SRC_META_MTIA_GENAI_2026; SRC_SEMIANALYSIS_INFERENCEX; ASSUMP_NUMERIC_ACCELERATOR_MIX</t>
        </is>
      </c>
      <c r="K2322" s="3" t="inlineStr">
        <is>
          <t>ASSUMP_CONSUMER_AI_UTILIZATION; ASSUMP_POWER_RAMP; ASSUMP_NUMERIC_ACCELERATOR_MIX; ASSUMP_INFERENCE_SHARE_NOT_FACT_60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13371718464000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4880677239360000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201519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h200_share*h200_reference + b200_share*b200_reference + gb200_share*gb200_reference + purpose_built_share*purpose_built_reference</t>
        </is>
      </c>
      <c r="I2337" s="3" t="inlineStr">
        <is>
          <t>Selected InferenceX proxy model: llama70b. Each GPU-generation reference is public benchmark input or documented B200 placeholder, not measured company production throughput.</t>
        </is>
      </c>
      <c r="J2337" s="3" t="inlineStr">
        <is>
          <t>SRC_SEMIANALYSIS_INFERENCEX; ASSUMP_NUMERIC_ACCELERATOR_MIX</t>
        </is>
      </c>
      <c r="K2337" s="3" t="inlineStr">
        <is>
          <t>ASSUMP_CONSUMER_AI_UTILIZATION; ASSUMP_POWER_RAMP; ASSUMP_NUMERIC_ACCELERATOR_MIX; ASSUMP_INFERENCE_SHARE_NOT_FACT_60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Closed-model, reasoning, long-context and SLO mismatch is made explicit rather than hiding it in the benchmark.</t>
        </is>
      </c>
      <c r="J2338" s="3" t="inlineStr">
        <is>
          <t>SRC_SEMIANALYSIS_INFERENCEX; ASSUMP_NUMERIC_ACCELERATOR_MIX</t>
        </is>
      </c>
      <c r="K2338" s="3" t="inlineStr">
        <is>
          <t>ASSUMP_CONSUMER_AI_UTILIZATION; ASSUMP_POWER_RAMP; ASSUMP_NUMERIC_ACCELERATOR_MIX; ASSUMP_INFERENCE_SHARE_NOT_FACT_60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201519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it is intentionally below the raw public reference unless the commercial workload is closely matched.</t>
        </is>
      </c>
      <c r="J2339" s="3" t="inlineStr">
        <is>
          <t>SRC_SEMIANALYSIS_INFERENCEX; ASSUMP_NUMERIC_ACCELERATOR_MIX</t>
        </is>
      </c>
      <c r="K2339" s="3" t="inlineStr">
        <is>
          <t>ASSUMP_CONSUMER_AI_UTILIZATION; ASSUMP_POWER_RAMP; ASSUMP_NUMERIC_ACCELERATOR_MIX; ASSUMP_INFERENCE_SHARE_NOT_FACT_60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200857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201519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345" s="3" t="inlineStr">
        <is>
          <t>SRC_META_LLAMA; SRC_META_LLAMA4_NVIDIA; SRC_META_MTIA_GENAI_2026; SRC_SEMIANALYSIS_INFERENCEX; ASSUMP_NUMERIC_ACCELERATOR_MIX</t>
        </is>
      </c>
      <c r="K2345" s="3" t="inlineStr">
        <is>
          <t>ASSUMP_CONSUMER_AI_UTILIZATION; ASSUMP_POWER_RAMP; ASSUMP_NUMERIC_ACCELERATOR_MIX; ASSUMP_INFERENCE_SHARE_NOT_FACT_60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24898075488000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9087797553120000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201297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h200_share*h200_reference + b200_share*b200_reference + gb200_share*gb200_reference + purpose_built_share*purpose_built_reference</t>
        </is>
      </c>
      <c r="I2360" s="3" t="inlineStr">
        <is>
          <t>Selected InferenceX proxy model: llama70b. Each GPU-generation reference is public benchmark input or documented B200 placeholder, not measured company production throughput.</t>
        </is>
      </c>
      <c r="J2360" s="3" t="inlineStr">
        <is>
          <t>SRC_SEMIANALYSIS_INFERENCEX; ASSUMP_NUMERIC_ACCELERATOR_MIX</t>
        </is>
      </c>
      <c r="K2360" s="3" t="inlineStr">
        <is>
          <t>ASSUMP_CONSUMER_AI_UTILIZATION; ASSUMP_POWER_RAMP; ASSUMP_NUMERIC_ACCELERATOR_MIX; ASSUMP_INFERENCE_SHARE_NOT_FACT_60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Closed-model, reasoning, long-context and SLO mismatch is made explicit rather than hiding it in the benchmark.</t>
        </is>
      </c>
      <c r="J2361" s="3" t="inlineStr">
        <is>
          <t>SRC_SEMIANALYSIS_INFERENCEX; ASSUMP_NUMERIC_ACCELERATOR_MIX</t>
        </is>
      </c>
      <c r="K2361" s="3" t="inlineStr">
        <is>
          <t>ASSUMP_CONSUMER_AI_UTILIZATION; ASSUMP_POWER_RAMP; ASSUMP_NUMERIC_ACCELERATOR_MIX; ASSUMP_INFERENCE_SHARE_NOT_FACT_60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201297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it is intentionally below the raw public reference unless the commercial workload is closely matched.</t>
        </is>
      </c>
      <c r="J2362" s="3" t="inlineStr">
        <is>
          <t>SRC_SEMIANALYSIS_INFERENCEX; ASSUMP_NUMERIC_ACCELERATOR_MIX</t>
        </is>
      </c>
      <c r="K2362" s="3" t="inlineStr">
        <is>
          <t>ASSUMP_CONSUMER_AI_UTILIZATION; ASSUMP_POWER_RAMP; ASSUMP_NUMERIC_ACCELERATOR_MIX; ASSUMP_INFERENCE_SHARE_NOT_FACT_60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200857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201297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368" s="3" t="inlineStr">
        <is>
          <t>SRC_META_LLAMA; SRC_META_LLAMA4_NVIDIA; SRC_META_MTIA_GENAI_2026; SRC_SEMIANALYSIS_INFERENCEX; ASSUMP_NUMERIC_ACCELERATOR_MIX</t>
        </is>
      </c>
      <c r="K2368" s="3" t="inlineStr">
        <is>
          <t>ASSUMP_CONSUMER_AI_UTILIZATION; ASSUMP_POWER_RAMP; ASSUMP_NUMERIC_ACCELERATOR_MIX; ASSUMP_INFERENCE_SHARE_NOT_FACT_60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38749511462400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1.4143571683776e+16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201109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h200_share*h200_reference + b200_share*b200_reference + gb200_share*gb200_reference + purpose_built_share*purpose_built_reference</t>
        </is>
      </c>
      <c r="I2383" s="3" t="inlineStr">
        <is>
          <t>Selected InferenceX proxy model: llama70b. Each GPU-generation reference is public benchmark input or documented B200 placeholder, not measured company production throughput.</t>
        </is>
      </c>
      <c r="J2383" s="3" t="inlineStr">
        <is>
          <t>SRC_SEMIANALYSIS_INFERENCEX; ASSUMP_NUMERIC_ACCELERATOR_MIX</t>
        </is>
      </c>
      <c r="K2383" s="3" t="inlineStr">
        <is>
          <t>ASSUMP_CONSUMER_AI_UTILIZATION; ASSUMP_POWER_RAMP; ASSUMP_NUMERIC_ACCELERATOR_MIX; ASSUMP_INFERENCE_SHARE_NOT_FACT_60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Closed-model, reasoning, long-context and SLO mismatch is made explicit rather than hiding it in the benchmark.</t>
        </is>
      </c>
      <c r="J2384" s="3" t="inlineStr">
        <is>
          <t>SRC_SEMIANALYSIS_INFERENCEX; ASSUMP_NUMERIC_ACCELERATOR_MIX</t>
        </is>
      </c>
      <c r="K2384" s="3" t="inlineStr">
        <is>
          <t>ASSUMP_CONSUMER_AI_UTILIZATION; ASSUMP_POWER_RAMP; ASSUMP_NUMERIC_ACCELERATOR_MIX; ASSUMP_INFERENCE_SHARE_NOT_FACT_60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201109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it is intentionally below the raw public reference unless the commercial workload is closely matched.</t>
        </is>
      </c>
      <c r="J2385" s="3" t="inlineStr">
        <is>
          <t>SRC_SEMIANALYSIS_INFERENCEX; ASSUMP_NUMERIC_ACCELERATOR_MIX</t>
        </is>
      </c>
      <c r="K2385" s="3" t="inlineStr">
        <is>
          <t>ASSUMP_CONSUMER_AI_UTILIZATION; ASSUMP_POWER_RAMP; ASSUMP_NUMERIC_ACCELERATOR_MIX; ASSUMP_INFERENCE_SHARE_NOT_FACT_60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200857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201109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391" s="3" t="inlineStr">
        <is>
          <t>SRC_META_LLAMA; SRC_META_LLAMA4_NVIDIA; SRC_META_MTIA_GENAI_2026; SRC_SEMIANALYSIS_INFERENCEX; ASSUMP_NUMERIC_ACCELERATOR_MIX</t>
        </is>
      </c>
      <c r="K2391" s="3" t="inlineStr">
        <is>
          <t>ASSUMP_CONSUMER_AI_UTILIZATION; ASSUMP_POWER_RAMP; ASSUMP_NUMERIC_ACCELERATOR_MIX; ASSUMP_INFERENCE_SHARE_NOT_FACT_60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55098717609600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2.0111031927504e+16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200960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h200_share*h200_reference + b200_share*b200_reference + gb200_share*gb200_reference + purpose_built_share*purpose_built_reference</t>
        </is>
      </c>
      <c r="I2406" s="3" t="inlineStr">
        <is>
          <t>Selected InferenceX proxy model: llama70b. Each GPU-generation reference is public benchmark input or documented B200 placeholder, not measured company production throughput.</t>
        </is>
      </c>
      <c r="J2406" s="3" t="inlineStr">
        <is>
          <t>SRC_SEMIANALYSIS_INFERENCEX; ASSUMP_NUMERIC_ACCELERATOR_MIX</t>
        </is>
      </c>
      <c r="K2406" s="3" t="inlineStr">
        <is>
          <t>ASSUMP_CONSUMER_AI_UTILIZATION; ASSUMP_POWER_RAMP; ASSUMP_NUMERIC_ACCELERATOR_MIX; ASSUMP_INFERENCE_SHARE_NOT_FACT_60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Closed-model, reasoning, long-context and SLO mismatch is made explicit rather than hiding it in the benchmark.</t>
        </is>
      </c>
      <c r="J2407" s="3" t="inlineStr">
        <is>
          <t>SRC_SEMIANALYSIS_INFERENCEX; ASSUMP_NUMERIC_ACCELERATOR_MIX</t>
        </is>
      </c>
      <c r="K2407" s="3" t="inlineStr">
        <is>
          <t>ASSUMP_CONSUMER_AI_UTILIZATION; ASSUMP_POWER_RAMP; ASSUMP_NUMERIC_ACCELERATOR_MIX; ASSUMP_INFERENCE_SHARE_NOT_FACT_60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200960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it is intentionally below the raw public reference unless the commercial workload is closely matched.</t>
        </is>
      </c>
      <c r="J2408" s="3" t="inlineStr">
        <is>
          <t>SRC_SEMIANALYSIS_INFERENCEX; ASSUMP_NUMERIC_ACCELERATOR_MIX</t>
        </is>
      </c>
      <c r="K2408" s="3" t="inlineStr">
        <is>
          <t>ASSUMP_CONSUMER_AI_UTILIZATION; ASSUMP_POWER_RAMP; ASSUMP_NUMERIC_ACCELERATOR_MIX; ASSUMP_INFERENCE_SHARE_NOT_FACT_60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200857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200960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2414" s="3" t="inlineStr">
        <is>
          <t>SRC_META_LLAMA; SRC_META_LLAMA4_NVIDIA; SRC_META_MTIA_GENAI_2026; SRC_SEMIANALYSIS_INFERENCEX; ASSUMP_NUMERIC_ACCELERATOR_MIX</t>
        </is>
      </c>
      <c r="K2414" s="3" t="inlineStr">
        <is>
          <t>ASSUMP_CONSUMER_AI_UTILIZATION; ASSUMP_POWER_RAMP; ASSUMP_NUMERIC_ACCELERATOR_MIX; ASSUMP_INFERENCE_SHARE_NOT_FACT_60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74087682048000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2.704200394752e+16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528791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h200_share*h200_reference + b200_share*b200_reference + gb200_share*gb200_reference + purpose_built_share*purpose_built_reference</t>
        </is>
      </c>
      <c r="I2429" s="3" t="inlineStr">
        <is>
          <t>Selected InferenceX proxy model: gptoss120b. Each GPU-generation reference is public benchmark input or documented B200 placeholder, not measured company production throughput.</t>
        </is>
      </c>
      <c r="J2429" s="3" t="inlineStr">
        <is>
          <t>SRC_SEMIANALYSIS_INFERENCEX; ASSUMP_NUMERIC_ACCELERATOR_MIX</t>
        </is>
      </c>
      <c r="K2429" s="3" t="inlineStr">
        <is>
          <t>ASSUMP_CLUSTER_RAMP; ASSUMP_CLOSED_MODEL_BAND; ASSUMP_NUMERIC_ACCELERATOR_MIX; ASSUMP_INFERENCE_SHARE_NOT_FACT_60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Closed-model, reasoning, long-context and SLO mismatch is made explicit rather than hiding it in the benchmark.</t>
        </is>
      </c>
      <c r="J2430" s="3" t="inlineStr">
        <is>
          <t>SRC_SEMIANALYSIS_INFERENCEX; ASSUMP_NUMERIC_ACCELERATOR_MIX</t>
        </is>
      </c>
      <c r="K2430" s="3" t="inlineStr">
        <is>
          <t>ASSUMP_CLUSTER_RAMP; ASSUMP_CLOSED_MODEL_BAND; ASSUMP_NUMERIC_ACCELERATOR_MIX; ASSUMP_INFERENCE_SHARE_NOT_FACT_60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396593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it is intentionally below the raw public reference unless the commercial workload is closely matched.</t>
        </is>
      </c>
      <c r="J2431" s="3" t="inlineStr">
        <is>
          <t>SRC_SEMIANALYSIS_INFERENCEX; ASSUMP_NUMERIC_ACCELERATOR_MIX</t>
        </is>
      </c>
      <c r="K2431" s="3" t="inlineStr">
        <is>
          <t>ASSUMP_CLUSTER_RAMP; ASSUMP_CLOSED_MODEL_BAND; ASSUMP_NUMERIC_ACCELERATOR_MIX; ASSUMP_INFERENCE_SHARE_NOT_FACT_60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542594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396593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2437" s="3" t="inlineStr">
        <is>
          <t>SRC_XAI_MODELS; SRC_XAI_NVIDIA_COLOSSUS; SRC_SEMIANALYSIS_INFERENCEX; ASSUMP_NUMERIC_ACCELERATOR_MIX</t>
        </is>
      </c>
      <c r="K2437" s="3" t="inlineStr">
        <is>
          <t>ASSUMP_CLUSTER_RAMP; ASSUMP_CLOSED_MODEL_BAND; ASSUMP_NUMERIC_ACCELERATOR_MIX; ASSUMP_INFERENCE_SHARE_NOT_FACT_60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4386001305600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1600890476544000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568432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h200_share*h200_reference + b200_share*b200_reference + gb200_share*gb200_reference + purpose_built_share*purpose_built_reference</t>
        </is>
      </c>
      <c r="I2452" s="3" t="inlineStr">
        <is>
          <t>Selected InferenceX proxy model: gptoss120b. Each GPU-generation reference is public benchmark input or documented B200 placeholder, not measured company production throughput.</t>
        </is>
      </c>
      <c r="J2452" s="3" t="inlineStr">
        <is>
          <t>SRC_SEMIANALYSIS_INFERENCEX; ASSUMP_NUMERIC_ACCELERATOR_MIX</t>
        </is>
      </c>
      <c r="K2452" s="3" t="inlineStr">
        <is>
          <t>ASSUMP_CLUSTER_RAMP; ASSUMP_CLOSED_MODEL_BAND; ASSUMP_NUMERIC_ACCELERATOR_MIX; ASSUMP_INFERENCE_SHARE_NOT_FACT_60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Closed-model, reasoning, long-context and SLO mismatch is made explicit rather than hiding it in the benchmark.</t>
        </is>
      </c>
      <c r="J2453" s="3" t="inlineStr">
        <is>
          <t>SRC_SEMIANALYSIS_INFERENCEX; ASSUMP_NUMERIC_ACCELERATOR_MIX</t>
        </is>
      </c>
      <c r="K2453" s="3" t="inlineStr">
        <is>
          <t>ASSUMP_CLUSTER_RAMP; ASSUMP_CLOSED_MODEL_BAND; ASSUMP_NUMERIC_ACCELERATOR_MIX; ASSUMP_INFERENCE_SHARE_NOT_FACT_60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426324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it is intentionally below the raw public reference unless the commercial workload is closely matched.</t>
        </is>
      </c>
      <c r="J2454" s="3" t="inlineStr">
        <is>
          <t>SRC_SEMIANALYSIS_INFERENCEX; ASSUMP_NUMERIC_ACCELERATOR_MIX</t>
        </is>
      </c>
      <c r="K2454" s="3" t="inlineStr">
        <is>
          <t>ASSUMP_CLUSTER_RAMP; ASSUMP_CLOSED_MODEL_BAND; ASSUMP_NUMERIC_ACCELERATOR_MIX; ASSUMP_INFERENCE_SHARE_NOT_FACT_60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542594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426324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2460" s="3" t="inlineStr">
        <is>
          <t>SRC_XAI_MODELS; SRC_XAI_NVIDIA_COLOSSUS; SRC_SEMIANALYSIS_INFERENCEX; ASSUMP_NUMERIC_ACCELERATOR_MIX</t>
        </is>
      </c>
      <c r="K2460" s="3" t="inlineStr">
        <is>
          <t>ASSUMP_CLUSTER_RAMP; ASSUMP_CLOSED_MODEL_BAND; ASSUMP_NUMERIC_ACCELERATOR_MIX; ASSUMP_INFERENCE_SHARE_NOT_FACT_60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14070738355200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5135819499648000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608428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h200_share*h200_reference + b200_share*b200_reference + gb200_share*gb200_reference + purpose_built_share*purpose_built_reference</t>
        </is>
      </c>
      <c r="I2475" s="3" t="inlineStr">
        <is>
          <t>Selected InferenceX proxy model: gptoss120b. Each GPU-generation reference is public benchmark input or documented B200 placeholder, not measured company production throughput.</t>
        </is>
      </c>
      <c r="J2475" s="3" t="inlineStr">
        <is>
          <t>SRC_SEMIANALYSIS_INFERENCEX; ASSUMP_NUMERIC_ACCELERATOR_MIX</t>
        </is>
      </c>
      <c r="K2475" s="3" t="inlineStr">
        <is>
          <t>ASSUMP_CLUSTER_RAMP; ASSUMP_CLOSED_MODEL_BAND; ASSUMP_NUMERIC_ACCELERATOR_MIX; ASSUMP_INFERENCE_SHARE_NOT_FACT_60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Closed-model, reasoning, long-context and SLO mismatch is made explicit rather than hiding it in the benchmark.</t>
        </is>
      </c>
      <c r="J2476" s="3" t="inlineStr">
        <is>
          <t>SRC_SEMIANALYSIS_INFERENCEX; ASSUMP_NUMERIC_ACCELERATOR_MIX</t>
        </is>
      </c>
      <c r="K2476" s="3" t="inlineStr">
        <is>
          <t>ASSUMP_CLUSTER_RAMP; ASSUMP_CLOSED_MODEL_BAND; ASSUMP_NUMERIC_ACCELERATOR_MIX; ASSUMP_INFERENCE_SHARE_NOT_FACT_60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456321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it is intentionally below the raw public reference unless the commercial workload is closely matched.</t>
        </is>
      </c>
      <c r="J2477" s="3" t="inlineStr">
        <is>
          <t>SRC_SEMIANALYSIS_INFERENCEX; ASSUMP_NUMERIC_ACCELERATOR_MIX</t>
        </is>
      </c>
      <c r="K2477" s="3" t="inlineStr">
        <is>
          <t>ASSUMP_CLUSTER_RAMP; ASSUMP_CLOSED_MODEL_BAND; ASSUMP_NUMERIC_ACCELERATOR_MIX; ASSUMP_INFERENCE_SHARE_NOT_FACT_60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542594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456321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2483" s="3" t="inlineStr">
        <is>
          <t>SRC_XAI_MODELS; SRC_XAI_NVIDIA_COLOSSUS; SRC_SEMIANALYSIS_INFERENCEX; ASSUMP_NUMERIC_ACCELERATOR_MIX</t>
        </is>
      </c>
      <c r="K2483" s="3" t="inlineStr">
        <is>
          <t>ASSUMP_CLUSTER_RAMP; ASSUMP_CLOSED_MODEL_BAND; ASSUMP_NUMERIC_ACCELERATOR_MIX; ASSUMP_INFERENCE_SHARE_NOT_FACT_60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27913703155200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1.0188501651648e+16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648069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h200_share*h200_reference + b200_share*b200_reference + gb200_share*gb200_reference + purpose_built_share*purpose_built_reference</t>
        </is>
      </c>
      <c r="I2498" s="3" t="inlineStr">
        <is>
          <t>Selected InferenceX proxy model: gptoss120b. Each GPU-generation reference is public benchmark input or documented B200 placeholder, not measured company production throughput.</t>
        </is>
      </c>
      <c r="J2498" s="3" t="inlineStr">
        <is>
          <t>SRC_SEMIANALYSIS_INFERENCEX; ASSUMP_NUMERIC_ACCELERATOR_MIX</t>
        </is>
      </c>
      <c r="K2498" s="3" t="inlineStr">
        <is>
          <t>ASSUMP_CLUSTER_RAMP; ASSUMP_CLOSED_MODEL_BAND; ASSUMP_NUMERIC_ACCELERATOR_MIX; ASSUMP_INFERENCE_SHARE_NOT_FACT_60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Closed-model, reasoning, long-context and SLO mismatch is made explicit rather than hiding it in the benchmark.</t>
        </is>
      </c>
      <c r="J2499" s="3" t="inlineStr">
        <is>
          <t>SRC_SEMIANALYSIS_INFERENCEX; ASSUMP_NUMERIC_ACCELERATOR_MIX</t>
        </is>
      </c>
      <c r="K2499" s="3" t="inlineStr">
        <is>
          <t>ASSUMP_CLUSTER_RAMP; ASSUMP_CLOSED_MODEL_BAND; ASSUMP_NUMERIC_ACCELERATOR_MIX; ASSUMP_INFERENCE_SHARE_NOT_FACT_60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486052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it is intentionally below the raw public reference unless the commercial workload is closely matched.</t>
        </is>
      </c>
      <c r="J2500" s="3" t="inlineStr">
        <is>
          <t>SRC_SEMIANALYSIS_INFERENCEX; ASSUMP_NUMERIC_ACCELERATOR_MIX</t>
        </is>
      </c>
      <c r="K2500" s="3" t="inlineStr">
        <is>
          <t>ASSUMP_CLUSTER_RAMP; ASSUMP_CLOSED_MODEL_BAND; ASSUMP_NUMERIC_ACCELERATOR_MIX; ASSUMP_INFERENCE_SHARE_NOT_FACT_60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542594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486052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2506" s="3" t="inlineStr">
        <is>
          <t>SRC_XAI_MODELS; SRC_XAI_NVIDIA_COLOSSUS; SRC_SEMIANALYSIS_INFERENCEX; ASSUMP_NUMERIC_ACCELERATOR_MIX</t>
        </is>
      </c>
      <c r="K2506" s="3" t="inlineStr">
        <is>
          <t>ASSUMP_CLUSTER_RAMP; ASSUMP_CLOSED_MODEL_BAND; ASSUMP_NUMERIC_ACCELERATOR_MIX; ASSUMP_INFERENCE_SHARE_NOT_FACT_60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46782310579200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1.7075543361408e+16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688064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h200_share*h200_reference + b200_share*b200_reference + gb200_share*gb200_reference + purpose_built_share*purpose_built_reference</t>
        </is>
      </c>
      <c r="I2521" s="3" t="inlineStr">
        <is>
          <t>Selected InferenceX proxy model: gptoss120b. Each GPU-generation reference is public benchmark input or documented B200 placeholder, not measured company production throughput.</t>
        </is>
      </c>
      <c r="J2521" s="3" t="inlineStr">
        <is>
          <t>SRC_SEMIANALYSIS_INFERENCEX; ASSUMP_NUMERIC_ACCELERATOR_MIX</t>
        </is>
      </c>
      <c r="K2521" s="3" t="inlineStr">
        <is>
          <t>ASSUMP_CLUSTER_RAMP; ASSUMP_CLOSED_MODEL_BAND; ASSUMP_NUMERIC_ACCELERATOR_MIX; ASSUMP_INFERENCE_SHARE_NOT_FACT_60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Closed-model, reasoning, long-context and SLO mismatch is made explicit rather than hiding it in the benchmark.</t>
        </is>
      </c>
      <c r="J2522" s="3" t="inlineStr">
        <is>
          <t>SRC_SEMIANALYSIS_INFERENCEX; ASSUMP_NUMERIC_ACCELERATOR_MIX</t>
        </is>
      </c>
      <c r="K2522" s="3" t="inlineStr">
        <is>
          <t>ASSUMP_CLUSTER_RAMP; ASSUMP_CLOSED_MODEL_BAND; ASSUMP_NUMERIC_ACCELERATOR_MIX; ASSUMP_INFERENCE_SHARE_NOT_FACT_60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516048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it is intentionally below the raw public reference unless the commercial workload is closely matched.</t>
        </is>
      </c>
      <c r="J2523" s="3" t="inlineStr">
        <is>
          <t>SRC_SEMIANALYSIS_INFERENCEX; ASSUMP_NUMERIC_ACCELERATOR_MIX</t>
        </is>
      </c>
      <c r="K2523" s="3" t="inlineStr">
        <is>
          <t>ASSUMP_CLUSTER_RAMP; ASSUMP_CLOSED_MODEL_BAND; ASSUMP_NUMERIC_ACCELERATOR_MIX; ASSUMP_INFERENCE_SHARE_NOT_FACT_60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542594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516048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2529" s="3" t="inlineStr">
        <is>
          <t>SRC_XAI_MODELS; SRC_XAI_NVIDIA_COLOSSUS; SRC_SEMIANALYSIS_INFERENCEX; ASSUMP_NUMERIC_ACCELERATOR_MIX</t>
        </is>
      </c>
      <c r="K2529" s="3" t="inlineStr">
        <is>
          <t>ASSUMP_CLUSTER_RAMP; ASSUMP_CLOSED_MODEL_BAND; ASSUMP_NUMERIC_ACCELERATOR_MIX; ASSUMP_INFERENCE_SHARE_NOT_FACT_60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71472235161600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2.6087365833984e+16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528791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h200_share*h200_reference + b200_share*b200_reference + gb200_share*gb200_reference + purpose_built_share*purpose_built_reference</t>
        </is>
      </c>
      <c r="I2544" s="3" t="inlineStr">
        <is>
          <t>Selected InferenceX proxy model: gptoss120b. Each GPU-generation reference is public benchmark input or documented B200 placeholder, not measured company production throughput.</t>
        </is>
      </c>
      <c r="J2544" s="3" t="inlineStr">
        <is>
          <t>SRC_SEMIANALYSIS_INFERENCEX; ASSUMP_NUMERIC_ACCELERATOR_MIX</t>
        </is>
      </c>
      <c r="K2544" s="3" t="inlineStr">
        <is>
          <t>ASSUMP_STARGATE_RAMP; ASSUMP_MS_OPENAI_ATTRIBUTION; ASSUMP_NUMERIC_ACCELERATOR_MIX; ASSUMP_INFERENCE_SHARE_NOT_FACT_60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Closed-model, reasoning, long-context and SLO mismatch is made explicit rather than hiding it in the benchmark.</t>
        </is>
      </c>
      <c r="J2545" s="3" t="inlineStr">
        <is>
          <t>SRC_SEMIANALYSIS_INFERENCEX; ASSUMP_NUMERIC_ACCELERATOR_MIX</t>
        </is>
      </c>
      <c r="K2545" s="3" t="inlineStr">
        <is>
          <t>ASSUMP_STARGATE_RAMP; ASSUMP_MS_OPENAI_ATTRIBUTION; ASSUMP_NUMERIC_ACCELERATOR_MIX; ASSUMP_INFERENCE_SHARE_NOT_FACT_60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370154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it is intentionally below the raw public reference unless the commercial workload is closely matched.</t>
        </is>
      </c>
      <c r="J2546" s="3" t="inlineStr">
        <is>
          <t>SRC_SEMIANALYSIS_INFERENCEX; ASSUMP_NUMERIC_ACCELERATOR_MIX</t>
        </is>
      </c>
      <c r="K2546" s="3" t="inlineStr">
        <is>
          <t>ASSUMP_STARGATE_RAMP; ASSUMP_MS_OPENAI_ATTRIBUTION; ASSUMP_NUMERIC_ACCELERATOR_MIX; ASSUMP_INFERENCE_SHARE_NOT_FACT_60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506421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370154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2552" s="3" t="inlineStr">
        <is>
          <t>SRC_OPENAI_GPT41_DOCS; SRC_OPENAI_STARGATE_ORACLE; SRC_OPENAI_STARGATE_PROGRESS; SRC_SEMIANALYSIS_INFERENCEX; ASSUMP_NUMERIC_ACCELERATOR_MIX</t>
        </is>
      </c>
      <c r="K2552" s="3" t="inlineStr">
        <is>
          <t>ASSUMP_STARGATE_RAMP; ASSUMP_MS_OPENAI_ATTRIBUTION; ASSUMP_NUMERIC_ACCELERATOR_MIX; ASSUMP_INFERENCE_SHARE_NOT_FACT_60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21715306502400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7926086873376000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568432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h200_share*h200_reference + b200_share*b200_reference + gb200_share*gb200_reference + purpose_built_share*purpose_built_reference</t>
        </is>
      </c>
      <c r="I2567" s="3" t="inlineStr">
        <is>
          <t>Selected InferenceX proxy model: gptoss120b. Each GPU-generation reference is public benchmark input or documented B200 placeholder, not measured company production throughput.</t>
        </is>
      </c>
      <c r="J2567" s="3" t="inlineStr">
        <is>
          <t>SRC_SEMIANALYSIS_INFERENCEX; ASSUMP_NUMERIC_ACCELERATOR_MIX</t>
        </is>
      </c>
      <c r="K2567" s="3" t="inlineStr">
        <is>
          <t>ASSUMP_STARGATE_RAMP; ASSUMP_MS_OPENAI_ATTRIBUTION; ASSUMP_NUMERIC_ACCELERATOR_MIX; ASSUMP_INFERENCE_SHARE_NOT_FACT_60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Closed-model, reasoning, long-context and SLO mismatch is made explicit rather than hiding it in the benchmark.</t>
        </is>
      </c>
      <c r="J2568" s="3" t="inlineStr">
        <is>
          <t>SRC_SEMIANALYSIS_INFERENCEX; ASSUMP_NUMERIC_ACCELERATOR_MIX</t>
        </is>
      </c>
      <c r="K2568" s="3" t="inlineStr">
        <is>
          <t>ASSUMP_STARGATE_RAMP; ASSUMP_MS_OPENAI_ATTRIBUTION; ASSUMP_NUMERIC_ACCELERATOR_MIX; ASSUMP_INFERENCE_SHARE_NOT_FACT_60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397902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it is intentionally below the raw public reference unless the commercial workload is closely matched.</t>
        </is>
      </c>
      <c r="J2569" s="3" t="inlineStr">
        <is>
          <t>SRC_SEMIANALYSIS_INFERENCEX; ASSUMP_NUMERIC_ACCELERATOR_MIX</t>
        </is>
      </c>
      <c r="K2569" s="3" t="inlineStr">
        <is>
          <t>ASSUMP_STARGATE_RAMP; ASSUMP_MS_OPENAI_ATTRIBUTION; ASSUMP_NUMERIC_ACCELERATOR_MIX; ASSUMP_INFERENCE_SHARE_NOT_FACT_60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506421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397902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2575" s="3" t="inlineStr">
        <is>
          <t>SRC_OPENAI_GPT41_DOCS; SRC_OPENAI_STARGATE_ORACLE; SRC_OPENAI_STARGATE_PROGRESS; SRC_SEMIANALYSIS_INFERENCEX; ASSUMP_NUMERIC_ACCELERATOR_MIX</t>
        </is>
      </c>
      <c r="K2575" s="3" t="inlineStr">
        <is>
          <t>ASSUMP_STARGATE_RAMP; ASSUMP_MS_OPENAI_ATTRIBUTION; ASSUMP_NUMERIC_ACCELERATOR_MIX; ASSUMP_INFERENCE_SHARE_NOT_FACT_60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59578343942400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2.1746095538976e+16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608428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h200_share*h200_reference + b200_share*b200_reference + gb200_share*gb200_reference + purpose_built_share*purpose_built_reference</t>
        </is>
      </c>
      <c r="I2590" s="3" t="inlineStr">
        <is>
          <t>Selected InferenceX proxy model: gptoss120b. Each GPU-generation reference is public benchmark input or documented B200 placeholder, not measured company production throughput.</t>
        </is>
      </c>
      <c r="J2590" s="3" t="inlineStr">
        <is>
          <t>SRC_SEMIANALYSIS_INFERENCEX; ASSUMP_NUMERIC_ACCELERATOR_MIX</t>
        </is>
      </c>
      <c r="K2590" s="3" t="inlineStr">
        <is>
          <t>ASSUMP_STARGATE_RAMP; ASSUMP_MS_OPENAI_ATTRIBUTION; ASSUMP_NUMERIC_ACCELERATOR_MIX; ASSUMP_INFERENCE_SHARE_NOT_FACT_60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Closed-model, reasoning, long-context and SLO mismatch is made explicit rather than hiding it in the benchmark.</t>
        </is>
      </c>
      <c r="J2591" s="3" t="inlineStr">
        <is>
          <t>SRC_SEMIANALYSIS_INFERENCEX; ASSUMP_NUMERIC_ACCELERATOR_MIX</t>
        </is>
      </c>
      <c r="K2591" s="3" t="inlineStr">
        <is>
          <t>ASSUMP_STARGATE_RAMP; ASSUMP_MS_OPENAI_ATTRIBUTION; ASSUMP_NUMERIC_ACCELERATOR_MIX; ASSUMP_INFERENCE_SHARE_NOT_FACT_60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425900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it is intentionally below the raw public reference unless the commercial workload is closely matched.</t>
        </is>
      </c>
      <c r="J2592" s="3" t="inlineStr">
        <is>
          <t>SRC_SEMIANALYSIS_INFERENCEX; ASSUMP_NUMERIC_ACCELERATOR_MIX</t>
        </is>
      </c>
      <c r="K2592" s="3" t="inlineStr">
        <is>
          <t>ASSUMP_STARGATE_RAMP; ASSUMP_MS_OPENAI_ATTRIBUTION; ASSUMP_NUMERIC_ACCELERATOR_MIX; ASSUMP_INFERENCE_SHARE_NOT_FACT_60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506421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425900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2598" s="3" t="inlineStr">
        <is>
          <t>SRC_OPENAI_GPT41_DOCS; SRC_OPENAI_STARGATE_ORACLE; SRC_OPENAI_STARGATE_PROGRESS; SRC_SEMIANALYSIS_INFERENCEX; ASSUMP_NUMERIC_ACCELERATOR_MIX</t>
        </is>
      </c>
      <c r="K2598" s="3" t="inlineStr">
        <is>
          <t>ASSUMP_STARGATE_RAMP; ASSUMP_MS_OPENAI_ATTRIBUTION; ASSUMP_NUMERIC_ACCELERATOR_MIX; ASSUMP_INFERENCE_SHARE_NOT_FACT_60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110945246400000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4.0495014936e+16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648069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h200_share*h200_reference + b200_share*b200_reference + gb200_share*gb200_reference + purpose_built_share*purpose_built_reference</t>
        </is>
      </c>
      <c r="I2613" s="3" t="inlineStr">
        <is>
          <t>Selected InferenceX proxy model: gptoss120b. Each GPU-generation reference is public benchmark input or documented B200 placeholder, not measured company production throughput.</t>
        </is>
      </c>
      <c r="J2613" s="3" t="inlineStr">
        <is>
          <t>SRC_SEMIANALYSIS_INFERENCEX; ASSUMP_NUMERIC_ACCELERATOR_MIX</t>
        </is>
      </c>
      <c r="K2613" s="3" t="inlineStr">
        <is>
          <t>ASSUMP_STARGATE_RAMP; ASSUMP_MS_OPENAI_ATTRIBUTION; ASSUMP_NUMERIC_ACCELERATOR_MIX; ASSUMP_INFERENCE_SHARE_NOT_FACT_60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Closed-model, reasoning, long-context and SLO mismatch is made explicit rather than hiding it in the benchmark.</t>
        </is>
      </c>
      <c r="J2614" s="3" t="inlineStr">
        <is>
          <t>SRC_SEMIANALYSIS_INFERENCEX; ASSUMP_NUMERIC_ACCELERATOR_MIX</t>
        </is>
      </c>
      <c r="K2614" s="3" t="inlineStr">
        <is>
          <t>ASSUMP_STARGATE_RAMP; ASSUMP_MS_OPENAI_ATTRIBUTION; ASSUMP_NUMERIC_ACCELERATOR_MIX; ASSUMP_INFERENCE_SHARE_NOT_FACT_60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453648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it is intentionally below the raw public reference unless the commercial workload is closely matched.</t>
        </is>
      </c>
      <c r="J2615" s="3" t="inlineStr">
        <is>
          <t>SRC_SEMIANALYSIS_INFERENCEX; ASSUMP_NUMERIC_ACCELERATOR_MIX</t>
        </is>
      </c>
      <c r="K2615" s="3" t="inlineStr">
        <is>
          <t>ASSUMP_STARGATE_RAMP; ASSUMP_MS_OPENAI_ATTRIBUTION; ASSUMP_NUMERIC_ACCELERATOR_MIX; ASSUMP_INFERENCE_SHARE_NOT_FACT_60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506421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453648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2621" s="3" t="inlineStr">
        <is>
          <t>SRC_OPENAI_GPT41_DOCS; SRC_OPENAI_STARGATE_ORACLE; SRC_OPENAI_STARGATE_PROGRESS; SRC_SEMIANALYSIS_INFERENCEX; ASSUMP_NUMERIC_ACCELERATOR_MIX</t>
        </is>
      </c>
      <c r="K2621" s="3" t="inlineStr">
        <is>
          <t>ASSUMP_STARGATE_RAMP; ASSUMP_MS_OPENAI_ATTRIBUTION; ASSUMP_NUMERIC_ACCELERATOR_MIX; ASSUMP_INFERENCE_SHARE_NOT_FACT_60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177985345075200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6.4964650952448e+16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688064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h200_share*h200_reference + b200_share*b200_reference + gb200_share*gb200_reference + purpose_built_share*purpose_built_reference</t>
        </is>
      </c>
      <c r="I2636" s="3" t="inlineStr">
        <is>
          <t>Selected InferenceX proxy model: gptoss120b. Each GPU-generation reference is public benchmark input or documented B200 placeholder, not measured company production throughput.</t>
        </is>
      </c>
      <c r="J2636" s="3" t="inlineStr">
        <is>
          <t>SRC_SEMIANALYSIS_INFERENCEX; ASSUMP_NUMERIC_ACCELERATOR_MIX</t>
        </is>
      </c>
      <c r="K2636" s="3" t="inlineStr">
        <is>
          <t>ASSUMP_STARGATE_RAMP; ASSUMP_MS_OPENAI_ATTRIBUTION; ASSUMP_NUMERIC_ACCELERATOR_MIX; ASSUMP_INFERENCE_SHARE_NOT_FACT_60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Closed-model, reasoning, long-context and SLO mismatch is made explicit rather than hiding it in the benchmark.</t>
        </is>
      </c>
      <c r="J2637" s="3" t="inlineStr">
        <is>
          <t>SRC_SEMIANALYSIS_INFERENCEX; ASSUMP_NUMERIC_ACCELERATOR_MIX</t>
        </is>
      </c>
      <c r="K2637" s="3" t="inlineStr">
        <is>
          <t>ASSUMP_STARGATE_RAMP; ASSUMP_MS_OPENAI_ATTRIBUTION; ASSUMP_NUMERIC_ACCELERATOR_MIX; ASSUMP_INFERENCE_SHARE_NOT_FACT_60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481645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it is intentionally below the raw public reference unless the commercial workload is closely matched.</t>
        </is>
      </c>
      <c r="J2638" s="3" t="inlineStr">
        <is>
          <t>SRC_SEMIANALYSIS_INFERENCEX; ASSUMP_NUMERIC_ACCELERATOR_MIX</t>
        </is>
      </c>
      <c r="K2638" s="3" t="inlineStr">
        <is>
          <t>ASSUMP_STARGATE_RAMP; ASSUMP_MS_OPENAI_ATTRIBUTION; ASSUMP_NUMERIC_ACCELERATOR_MIX; ASSUMP_INFERENCE_SHARE_NOT_FACT_60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506421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481645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2644" s="3" t="inlineStr">
        <is>
          <t>SRC_OPENAI_GPT41_DOCS; SRC_OPENAI_STARGATE_ORACLE; SRC_OPENAI_STARGATE_PROGRESS; SRC_SEMIANALYSIS_INFERENCEX; ASSUMP_NUMERIC_ACCELERATOR_MIX</t>
        </is>
      </c>
      <c r="K2644" s="3" t="inlineStr">
        <is>
          <t>ASSUMP_STARGATE_RAMP; ASSUMP_MS_OPENAI_ATTRIBUTION; ASSUMP_NUMERIC_ACCELERATOR_MIX; ASSUMP_INFERENCE_SHARE_NOT_FACT_60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263250973728000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9.608660541072e+16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655148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h200_share*h200_reference + b200_share*b200_reference + gb200_share*gb200_reference + purpose_built_share*purpose_built_reference</t>
        </is>
      </c>
      <c r="I2659" s="3" t="inlineStr">
        <is>
          <t>Selected InferenceX proxy model: gptoss120b. Each GPU-generation reference is public benchmark input or documented B200 placeholder, not measured company production throughput.</t>
        </is>
      </c>
      <c r="J2659" s="3" t="inlineStr">
        <is>
          <t>SRC_SEMIANALYSIS_INFERENCEX; ASSUMP_NUMERIC_ACCELERATOR_MIX</t>
        </is>
      </c>
      <c r="K2659" s="3" t="inlineStr">
        <is>
          <t>ASSUMP_POWER_RAMP; ASSUMP_CLOSED_MODEL_BAND; ASSUMP_NUMERIC_ACCELERATOR_MIX; ASSUMP_INFERENCE_SHARE_NOT_FACT_60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2660" s="3" t="inlineStr">
        <is>
          <t>SRC_SEMIANALYSIS_INFERENCEX; ASSUMP_NUMERIC_ACCELERATOR_MIX</t>
        </is>
      </c>
      <c r="K2660" s="3" t="inlineStr">
        <is>
          <t>ASSUMP_POWER_RAMP; ASSUMP_CLOSED_MODEL_BAND; ASSUMP_NUMERIC_ACCELERATOR_MIX; ASSUMP_INFERENCE_SHARE_NOT_FACT_60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458604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it is intentionally below the raw public reference unless the commercial workload is closely matched.</t>
        </is>
      </c>
      <c r="J2661" s="3" t="inlineStr">
        <is>
          <t>SRC_SEMIANALYSIS_INFERENCEX; ASSUMP_NUMERIC_ACCELERATOR_MIX</t>
        </is>
      </c>
      <c r="K2661" s="3" t="inlineStr">
        <is>
          <t>ASSUMP_POWER_RAMP; ASSUMP_CLOSED_MODEL_BAND; ASSUMP_NUMERIC_ACCELERATOR_MIX; ASSUMP_INFERENCE_SHARE_NOT_FACT_60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506421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458604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2667" s="3" t="inlineStr">
        <is>
          <t>SRC_ANTHROPIC_CLAUDE_DOCS; SRC_ANTHROPIC_AMAZON_COMPUTE; SRC_AWS_RAINIER_ACTIVE; SRC_SEMIANALYSIS_INFERENCEX; ASSUMP_NUMERIC_ACCELERATOR_MIX</t>
        </is>
      </c>
      <c r="K2667" s="3" t="inlineStr">
        <is>
          <t>ASSUMP_POWER_RAMP; ASSUMP_CLOSED_MODEL_BAND; ASSUMP_NUMERIC_ACCELERATOR_MIX; ASSUMP_INFERENCE_SHARE_NOT_FACT_60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17275796121600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6305665584384000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677092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h200_share*h200_reference + b200_share*b200_reference + gb200_share*gb200_reference + purpose_built_share*purpose_built_reference</t>
        </is>
      </c>
      <c r="I2682" s="3" t="inlineStr">
        <is>
          <t>Selected InferenceX proxy model: gptoss120b. Each GPU-generation reference is public benchmark input or documented B200 placeholder, not measured company production throughput.</t>
        </is>
      </c>
      <c r="J2682" s="3" t="inlineStr">
        <is>
          <t>SRC_SEMIANALYSIS_INFERENCEX; ASSUMP_NUMERIC_ACCELERATOR_MIX</t>
        </is>
      </c>
      <c r="K2682" s="3" t="inlineStr">
        <is>
          <t>ASSUMP_POWER_RAMP; ASSUMP_CLOSED_MODEL_BAND; ASSUMP_NUMERIC_ACCELERATOR_MIX; ASSUMP_INFERENCE_SHARE_NOT_FACT_60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2683" s="3" t="inlineStr">
        <is>
          <t>SRC_SEMIANALYSIS_INFERENCEX; ASSUMP_NUMERIC_ACCELERATOR_MIX</t>
        </is>
      </c>
      <c r="K2683" s="3" t="inlineStr">
        <is>
          <t>ASSUMP_POWER_RAMP; ASSUMP_CLOSED_MODEL_BAND; ASSUMP_NUMERIC_ACCELERATOR_MIX; ASSUMP_INFERENCE_SHARE_NOT_FACT_60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473964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it is intentionally below the raw public reference unless the commercial workload is closely matched.</t>
        </is>
      </c>
      <c r="J2684" s="3" t="inlineStr">
        <is>
          <t>SRC_SEMIANALYSIS_INFERENCEX; ASSUMP_NUMERIC_ACCELERATOR_MIX</t>
        </is>
      </c>
      <c r="K2684" s="3" t="inlineStr">
        <is>
          <t>ASSUMP_POWER_RAMP; ASSUMP_CLOSED_MODEL_BAND; ASSUMP_NUMERIC_ACCELERATOR_MIX; ASSUMP_INFERENCE_SHARE_NOT_FACT_60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506421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473964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2690" s="3" t="inlineStr">
        <is>
          <t>SRC_ANTHROPIC_CLAUDE_DOCS; SRC_ANTHROPIC_AMAZON_COMPUTE; SRC_AWS_RAINIER_ACTIVE; SRC_SEMIANALYSIS_INFERENCEX; ASSUMP_NUMERIC_ACCELERATOR_MIX</t>
        </is>
      </c>
      <c r="K2690" s="3" t="inlineStr">
        <is>
          <t>ASSUMP_POWER_RAMP; ASSUMP_CLOSED_MODEL_BAND; ASSUMP_NUMERIC_ACCELERATOR_MIX; ASSUMP_INFERENCE_SHARE_NOT_FACT_60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43407518976000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1.584374442624e+16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694789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h200_share*h200_reference + b200_share*b200_reference + gb200_share*gb200_reference + purpose_built_share*purpose_built_reference</t>
        </is>
      </c>
      <c r="I2705" s="3" t="inlineStr">
        <is>
          <t>Selected InferenceX proxy model: gptoss120b. Each GPU-generation reference is public benchmark input or documented B200 placeholder, not measured company production throughput.</t>
        </is>
      </c>
      <c r="J2705" s="3" t="inlineStr">
        <is>
          <t>SRC_SEMIANALYSIS_INFERENCEX; ASSUMP_NUMERIC_ACCELERATOR_MIX</t>
        </is>
      </c>
      <c r="K2705" s="3" t="inlineStr">
        <is>
          <t>ASSUMP_POWER_RAMP; ASSUMP_CLOSED_MODEL_BAND; ASSUMP_NUMERIC_ACCELERATOR_MIX; ASSUMP_INFERENCE_SHARE_NOT_FACT_60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2706" s="3" t="inlineStr">
        <is>
          <t>SRC_SEMIANALYSIS_INFERENCEX; ASSUMP_NUMERIC_ACCELERATOR_MIX</t>
        </is>
      </c>
      <c r="K2706" s="3" t="inlineStr">
        <is>
          <t>ASSUMP_POWER_RAMP; ASSUMP_CLOSED_MODEL_BAND; ASSUMP_NUMERIC_ACCELERATOR_MIX; ASSUMP_INFERENCE_SHARE_NOT_FACT_60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486352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it is intentionally below the raw public reference unless the commercial workload is closely matched.</t>
        </is>
      </c>
      <c r="J2707" s="3" t="inlineStr">
        <is>
          <t>SRC_SEMIANALYSIS_INFERENCEX; ASSUMP_NUMERIC_ACCELERATOR_MIX</t>
        </is>
      </c>
      <c r="K2707" s="3" t="inlineStr">
        <is>
          <t>ASSUMP_POWER_RAMP; ASSUMP_CLOSED_MODEL_BAND; ASSUMP_NUMERIC_ACCELERATOR_MIX; ASSUMP_INFERENCE_SHARE_NOT_FACT_60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506421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486352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2713" s="3" t="inlineStr">
        <is>
          <t>SRC_ANTHROPIC_CLAUDE_DOCS; SRC_ANTHROPIC_AMAZON_COMPUTE; SRC_AWS_RAINIER_ACTIVE; SRC_SEMIANALYSIS_INFERENCEX; ASSUMP_NUMERIC_ACCELERATOR_MIX</t>
        </is>
      </c>
      <c r="K2713" s="3" t="inlineStr">
        <is>
          <t>ASSUMP_POWER_RAMP; ASSUMP_CLOSED_MODEL_BAND; ASSUMP_NUMERIC_ACCELERATOR_MIX; ASSUMP_INFERENCE_SHARE_NOT_FACT_60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77150212300800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2.8159827489792e+16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708239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h200_share*h200_reference + b200_share*b200_reference + gb200_share*gb200_reference + purpose_built_share*purpose_built_reference</t>
        </is>
      </c>
      <c r="I2728" s="3" t="inlineStr">
        <is>
          <t>Selected InferenceX proxy model: gptoss120b. Each GPU-generation reference is public benchmark input or documented B200 placeholder, not measured company production throughput.</t>
        </is>
      </c>
      <c r="J2728" s="3" t="inlineStr">
        <is>
          <t>SRC_SEMIANALYSIS_INFERENCEX; ASSUMP_NUMERIC_ACCELERATOR_MIX</t>
        </is>
      </c>
      <c r="K2728" s="3" t="inlineStr">
        <is>
          <t>ASSUMP_POWER_RAMP; ASSUMP_CLOSED_MODEL_BAND; ASSUMP_NUMERIC_ACCELERATOR_MIX; ASSUMP_INFERENCE_SHARE_NOT_FACT_60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2729" s="3" t="inlineStr">
        <is>
          <t>SRC_SEMIANALYSIS_INFERENCEX; ASSUMP_NUMERIC_ACCELERATOR_MIX</t>
        </is>
      </c>
      <c r="K2729" s="3" t="inlineStr">
        <is>
          <t>ASSUMP_POWER_RAMP; ASSUMP_CLOSED_MODEL_BAND; ASSUMP_NUMERIC_ACCELERATOR_MIX; ASSUMP_INFERENCE_SHARE_NOT_FACT_60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495767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it is intentionally below the raw public reference unless the commercial workload is closely matched.</t>
        </is>
      </c>
      <c r="J2730" s="3" t="inlineStr">
        <is>
          <t>SRC_SEMIANALYSIS_INFERENCEX; ASSUMP_NUMERIC_ACCELERATOR_MIX</t>
        </is>
      </c>
      <c r="K2730" s="3" t="inlineStr">
        <is>
          <t>ASSUMP_POWER_RAMP; ASSUMP_CLOSED_MODEL_BAND; ASSUMP_NUMERIC_ACCELERATOR_MIX; ASSUMP_INFERENCE_SHARE_NOT_FACT_60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506421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495767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2736" s="3" t="inlineStr">
        <is>
          <t>SRC_ANTHROPIC_CLAUDE_DOCS; SRC_ANTHROPIC_AMAZON_COMPUTE; SRC_AWS_RAINIER_ACTIVE; SRC_SEMIANALYSIS_INFERENCEX; ASSUMP_NUMERIC_ACCELERATOR_MIX</t>
        </is>
      </c>
      <c r="K2736" s="3" t="inlineStr">
        <is>
          <t>ASSUMP_POWER_RAMP; ASSUMP_CLOSED_MODEL_BAND; ASSUMP_NUMERIC_ACCELERATOR_MIX; ASSUMP_INFERENCE_SHARE_NOT_FACT_60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118736593113600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4.3338856486464e+16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718149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h200_share*h200_reference + b200_share*b200_reference + gb200_share*gb200_reference + purpose_built_share*purpose_built_reference</t>
        </is>
      </c>
      <c r="I2751" s="3" t="inlineStr">
        <is>
          <t>Selected InferenceX proxy model: gptoss120b. Each GPU-generation reference is public benchmark input or documented B200 placeholder, not measured company production throughput.</t>
        </is>
      </c>
      <c r="J2751" s="3" t="inlineStr">
        <is>
          <t>SRC_SEMIANALYSIS_INFERENCEX; ASSUMP_NUMERIC_ACCELERATOR_MIX</t>
        </is>
      </c>
      <c r="K2751" s="3" t="inlineStr">
        <is>
          <t>ASSUMP_POWER_RAMP; ASSUMP_CLOSED_MODEL_BAND; ASSUMP_NUMERIC_ACCELERATOR_MIX; ASSUMP_INFERENCE_SHARE_NOT_FACT_60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2752" s="3" t="inlineStr">
        <is>
          <t>SRC_SEMIANALYSIS_INFERENCEX; ASSUMP_NUMERIC_ACCELERATOR_MIX</t>
        </is>
      </c>
      <c r="K2752" s="3" t="inlineStr">
        <is>
          <t>ASSUMP_POWER_RAMP; ASSUMP_CLOSED_MODEL_BAND; ASSUMP_NUMERIC_ACCELERATOR_MIX; ASSUMP_INFERENCE_SHARE_NOT_FACT_60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502704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it is intentionally below the raw public reference unless the commercial workload is closely matched.</t>
        </is>
      </c>
      <c r="J2753" s="3" t="inlineStr">
        <is>
          <t>SRC_SEMIANALYSIS_INFERENCEX; ASSUMP_NUMERIC_ACCELERATOR_MIX</t>
        </is>
      </c>
      <c r="K2753" s="3" t="inlineStr">
        <is>
          <t>ASSUMP_POWER_RAMP; ASSUMP_CLOSED_MODEL_BAND; ASSUMP_NUMERIC_ACCELERATOR_MIX; ASSUMP_INFERENCE_SHARE_NOT_FACT_60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506421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502704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2759" s="3" t="inlineStr">
        <is>
          <t>SRC_ANTHROPIC_CLAUDE_DOCS; SRC_ANTHROPIC_AMAZON_COMPUTE; SRC_AWS_RAINIER_ACTIVE; SRC_SEMIANALYSIS_INFERENCEX; ASSUMP_NUMERIC_ACCELERATOR_MIX</t>
        </is>
      </c>
      <c r="K2759" s="3" t="inlineStr">
        <is>
          <t>ASSUMP_POWER_RAMP; ASSUMP_CLOSED_MODEL_BAND; ASSUMP_NUMERIC_ACCELERATOR_MIX; ASSUMP_INFERENCE_SHARE_NOT_FACT_60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168479033702400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6.1494847301376e+16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63732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h200_share*h200_reference + b200_share*b200_reference + gb200_share*gb200_reference + purpose_built_share*purpose_built_reference</t>
        </is>
      </c>
      <c r="I2774" s="3" t="inlineStr">
        <is>
          <t>Selected InferenceX proxy model: dsr1. Each GPU-generation reference is public benchmark input or documented B200 placeholder, not measured company production throughput.</t>
        </is>
      </c>
      <c r="J2774" s="3" t="inlineStr">
        <is>
          <t>SRC_SEMIANALYSIS_INFERENCEX; ASSUMP_NUMERIC_ACCELERATOR_MIX</t>
        </is>
      </c>
      <c r="K2774" s="3" t="inlineStr">
        <is>
          <t>ASSUMP_MOE_EFFICIENCY; ASSUMP_CN_CAPACITY_TRANSPARENCY; ASSUMP_NUMERIC_ACCELERATOR_MIX; ASSUMP_INFERENCE_SHARE_NOT_FACT_60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Closed-model, reasoning, long-context and SLO mismatch is made explicit rather than hiding it in the benchmark.</t>
        </is>
      </c>
      <c r="J2775" s="3" t="inlineStr">
        <is>
          <t>SRC_SEMIANALYSIS_INFERENCEX; ASSUMP_NUMERIC_ACCELERATOR_MIX</t>
        </is>
      </c>
      <c r="K2775" s="3" t="inlineStr">
        <is>
          <t>ASSUMP_MOE_EFFICIENCY; ASSUMP_CN_CAPACITY_TRANSPARENCY; ASSUMP_NUMERIC_ACCELERATOR_MIX; ASSUMP_INFERENCE_SHARE_NOT_FACT_60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63732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it is intentionally below the raw public reference unless the commercial workload is closely matched.</t>
        </is>
      </c>
      <c r="J2776" s="3" t="inlineStr">
        <is>
          <t>SRC_SEMIANALYSIS_INFERENCEX; ASSUMP_NUMERIC_ACCELERATOR_MIX</t>
        </is>
      </c>
      <c r="K2776" s="3" t="inlineStr">
        <is>
          <t>ASSUMP_MOE_EFFICIENCY; ASSUMP_CN_CAPACITY_TRANSPARENCY; ASSUMP_NUMERIC_ACCELERATOR_MIX; ASSUMP_INFERENCE_SHARE_NOT_FACT_60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65077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63732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2782" s="3" t="inlineStr">
        <is>
          <t>SRC_DEEPSEEK_V3; SRC_DEEPSEEK_R1; SRC_DEEPSEEK_H800_INFERENCE; SRC_SEMIANALYSIS_INFERENCEX; ASSUMP_NUMERIC_ACCELERATOR_MIX</t>
        </is>
      </c>
      <c r="K2782" s="3" t="inlineStr">
        <is>
          <t>ASSUMP_MOE_EFFICIENCY; ASSUMP_CN_CAPACITY_TRANSPARENCY; ASSUMP_NUMERIC_ACCELERATOR_MIX; ASSUMP_INFERENCE_SHARE_NOT_FACT_60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385451136000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140689664640000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64006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h200_share*h200_reference + b200_share*b200_reference + gb200_share*gb200_reference + purpose_built_share*purpose_built_reference</t>
        </is>
      </c>
      <c r="I2797" s="3" t="inlineStr">
        <is>
          <t>Selected InferenceX proxy model: dsr1. Each GPU-generation reference is public benchmark input or documented B200 placeholder, not measured company production throughput.</t>
        </is>
      </c>
      <c r="J2797" s="3" t="inlineStr">
        <is>
          <t>SRC_SEMIANALYSIS_INFERENCEX; ASSUMP_NUMERIC_ACCELERATOR_MIX</t>
        </is>
      </c>
      <c r="K2797" s="3" t="inlineStr">
        <is>
          <t>ASSUMP_MOE_EFFICIENCY; ASSUMP_CN_CAPACITY_TRANSPARENCY; ASSUMP_NUMERIC_ACCELERATOR_MIX; ASSUMP_INFERENCE_SHARE_NOT_FACT_60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Closed-model, reasoning, long-context and SLO mismatch is made explicit rather than hiding it in the benchmark.</t>
        </is>
      </c>
      <c r="J2798" s="3" t="inlineStr">
        <is>
          <t>SRC_SEMIANALYSIS_INFERENCEX; ASSUMP_NUMERIC_ACCELERATOR_MIX</t>
        </is>
      </c>
      <c r="K2798" s="3" t="inlineStr">
        <is>
          <t>ASSUMP_MOE_EFFICIENCY; ASSUMP_CN_CAPACITY_TRANSPARENCY; ASSUMP_NUMERIC_ACCELERATOR_MIX; ASSUMP_INFERENCE_SHARE_NOT_FACT_60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64006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it is intentionally below the raw public reference unless the commercial workload is closely matched.</t>
        </is>
      </c>
      <c r="J2799" s="3" t="inlineStr">
        <is>
          <t>SRC_SEMIANALYSIS_INFERENCEX; ASSUMP_NUMERIC_ACCELERATOR_MIX</t>
        </is>
      </c>
      <c r="K2799" s="3" t="inlineStr">
        <is>
          <t>ASSUMP_MOE_EFFICIENCY; ASSUMP_CN_CAPACITY_TRANSPARENCY; ASSUMP_NUMERIC_ACCELERATOR_MIX; ASSUMP_INFERENCE_SHARE_NOT_FACT_60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65077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64006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2805" s="3" t="inlineStr">
        <is>
          <t>SRC_DEEPSEEK_V3; SRC_DEEPSEEK_R1; SRC_DEEPSEEK_H800_INFERENCE; SRC_SEMIANALYSIS_INFERENCEX; ASSUMP_NUMERIC_ACCELERATOR_MIX</t>
        </is>
      </c>
      <c r="K2805" s="3" t="inlineStr">
        <is>
          <t>ASSUMP_MOE_EFFICIENCY; ASSUMP_CN_CAPACITY_TRANSPARENCY; ASSUMP_NUMERIC_ACCELERATOR_MIX; ASSUMP_INFERENCE_SHARE_NOT_FACT_60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1188975456000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433976041440000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64282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h200_share*h200_reference + b200_share*b200_reference + gb200_share*gb200_reference + purpose_built_share*purpose_built_reference</t>
        </is>
      </c>
      <c r="I2820" s="3" t="inlineStr">
        <is>
          <t>Selected InferenceX proxy model: dsr1. Each GPU-generation reference is public benchmark input or documented B200 placeholder, not measured company production throughput.</t>
        </is>
      </c>
      <c r="J2820" s="3" t="inlineStr">
        <is>
          <t>SRC_SEMIANALYSIS_INFERENCEX; ASSUMP_NUMERIC_ACCELERATOR_MIX</t>
        </is>
      </c>
      <c r="K2820" s="3" t="inlineStr">
        <is>
          <t>ASSUMP_MOE_EFFICIENCY; ASSUMP_CN_CAPACITY_TRANSPARENCY; ASSUMP_NUMERIC_ACCELERATOR_MIX; ASSUMP_INFERENCE_SHARE_NOT_FACT_60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Closed-model, reasoning, long-context and SLO mismatch is made explicit rather than hiding it in the benchmark.</t>
        </is>
      </c>
      <c r="J2821" s="3" t="inlineStr">
        <is>
          <t>SRC_SEMIANALYSIS_INFERENCEX; ASSUMP_NUMERIC_ACCELERATOR_MIX</t>
        </is>
      </c>
      <c r="K2821" s="3" t="inlineStr">
        <is>
          <t>ASSUMP_MOE_EFFICIENCY; ASSUMP_CN_CAPACITY_TRANSPARENCY; ASSUMP_NUMERIC_ACCELERATOR_MIX; ASSUMP_INFERENCE_SHARE_NOT_FACT_60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64282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it is intentionally below the raw public reference unless the commercial workload is closely matched.</t>
        </is>
      </c>
      <c r="J2822" s="3" t="inlineStr">
        <is>
          <t>SRC_SEMIANALYSIS_INFERENCEX; ASSUMP_NUMERIC_ACCELERATOR_MIX</t>
        </is>
      </c>
      <c r="K2822" s="3" t="inlineStr">
        <is>
          <t>ASSUMP_MOE_EFFICIENCY; ASSUMP_CN_CAPACITY_TRANSPARENCY; ASSUMP_NUMERIC_ACCELERATOR_MIX; ASSUMP_INFERENCE_SHARE_NOT_FACT_60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65077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64282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2828" s="3" t="inlineStr">
        <is>
          <t>SRC_DEEPSEEK_V3; SRC_DEEPSEEK_R1; SRC_DEEPSEEK_H800_INFERENCE; SRC_SEMIANALYSIS_INFERENCEX; ASSUMP_NUMERIC_ACCELERATOR_MIX</t>
        </is>
      </c>
      <c r="K2828" s="3" t="inlineStr">
        <is>
          <t>ASSUMP_MOE_EFFICIENCY; ASSUMP_CN_CAPACITY_TRANSPARENCY; ASSUMP_NUMERIC_ACCELERATOR_MIX; ASSUMP_INFERENCE_SHARE_NOT_FACT_60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2171600236800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792634086432000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64556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h200_share*h200_reference + b200_share*b200_reference + gb200_share*gb200_reference + purpose_built_share*purpose_built_reference</t>
        </is>
      </c>
      <c r="I2843" s="3" t="inlineStr">
        <is>
          <t>Selected InferenceX proxy model: dsr1. Each GPU-generation reference is public benchmark input or documented B200 placeholder, not measured company production throughput.</t>
        </is>
      </c>
      <c r="J2843" s="3" t="inlineStr">
        <is>
          <t>SRC_SEMIANALYSIS_INFERENCEX; ASSUMP_NUMERIC_ACCELERATOR_MIX</t>
        </is>
      </c>
      <c r="K2843" s="3" t="inlineStr">
        <is>
          <t>ASSUMP_MOE_EFFICIENCY; ASSUMP_CN_CAPACITY_TRANSPARENCY; ASSUMP_NUMERIC_ACCELERATOR_MIX; ASSUMP_INFERENCE_SHARE_NOT_FACT_60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Closed-model, reasoning, long-context and SLO mismatch is made explicit rather than hiding it in the benchmark.</t>
        </is>
      </c>
      <c r="J2844" s="3" t="inlineStr">
        <is>
          <t>SRC_SEMIANALYSIS_INFERENCEX; ASSUMP_NUMERIC_ACCELERATOR_MIX</t>
        </is>
      </c>
      <c r="K2844" s="3" t="inlineStr">
        <is>
          <t>ASSUMP_MOE_EFFICIENCY; ASSUMP_CN_CAPACITY_TRANSPARENCY; ASSUMP_NUMERIC_ACCELERATOR_MIX; ASSUMP_INFERENCE_SHARE_NOT_FACT_60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64556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it is intentionally below the raw public reference unless the commercial workload is closely matched.</t>
        </is>
      </c>
      <c r="J2845" s="3" t="inlineStr">
        <is>
          <t>SRC_SEMIANALYSIS_INFERENCEX; ASSUMP_NUMERIC_ACCELERATOR_MIX</t>
        </is>
      </c>
      <c r="K2845" s="3" t="inlineStr">
        <is>
          <t>ASSUMP_MOE_EFFICIENCY; ASSUMP_CN_CAPACITY_TRANSPARENCY; ASSUMP_NUMERIC_ACCELERATOR_MIX; ASSUMP_INFERENCE_SHARE_NOT_FACT_60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65077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64556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2851" s="3" t="inlineStr">
        <is>
          <t>SRC_DEEPSEEK_V3; SRC_DEEPSEEK_R1; SRC_DEEPSEEK_H800_INFERENCE; SRC_SEMIANALYSIS_INFERENCEX; ASSUMP_NUMERIC_ACCELERATOR_MIX</t>
        </is>
      </c>
      <c r="K2851" s="3" t="inlineStr">
        <is>
          <t>ASSUMP_MOE_EFFICIENCY; ASSUMP_CN_CAPACITY_TRANSPARENCY; ASSUMP_NUMERIC_ACCELERATOR_MIX; ASSUMP_INFERENCE_SHARE_NOT_FACT_60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3341005401600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1219466971584000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64832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h200_share*h200_reference + b200_share*b200_reference + gb200_share*gb200_reference + purpose_built_share*purpose_built_reference</t>
        </is>
      </c>
      <c r="I2866" s="3" t="inlineStr">
        <is>
          <t>Selected InferenceX proxy model: dsr1. Each GPU-generation reference is public benchmark input or documented B200 placeholder, not measured company production throughput.</t>
        </is>
      </c>
      <c r="J2866" s="3" t="inlineStr">
        <is>
          <t>SRC_SEMIANALYSIS_INFERENCEX; ASSUMP_NUMERIC_ACCELERATOR_MIX</t>
        </is>
      </c>
      <c r="K2866" s="3" t="inlineStr">
        <is>
          <t>ASSUMP_MOE_EFFICIENCY; ASSUMP_CN_CAPACITY_TRANSPARENCY; ASSUMP_NUMERIC_ACCELERATOR_MIX; ASSUMP_INFERENCE_SHARE_NOT_FACT_60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Closed-model, reasoning, long-context and SLO mismatch is made explicit rather than hiding it in the benchmark.</t>
        </is>
      </c>
      <c r="J2867" s="3" t="inlineStr">
        <is>
          <t>SRC_SEMIANALYSIS_INFERENCEX; ASSUMP_NUMERIC_ACCELERATOR_MIX</t>
        </is>
      </c>
      <c r="K2867" s="3" t="inlineStr">
        <is>
          <t>ASSUMP_MOE_EFFICIENCY; ASSUMP_CN_CAPACITY_TRANSPARENCY; ASSUMP_NUMERIC_ACCELERATOR_MIX; ASSUMP_INFERENCE_SHARE_NOT_FACT_60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64832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it is intentionally below the raw public reference unless the commercial workload is closely matched.</t>
        </is>
      </c>
      <c r="J2868" s="3" t="inlineStr">
        <is>
          <t>SRC_SEMIANALYSIS_INFERENCEX; ASSUMP_NUMERIC_ACCELERATOR_MIX</t>
        </is>
      </c>
      <c r="K2868" s="3" t="inlineStr">
        <is>
          <t>ASSUMP_MOE_EFFICIENCY; ASSUMP_CN_CAPACITY_TRANSPARENCY; ASSUMP_NUMERIC_ACCELERATOR_MIX; ASSUMP_INFERENCE_SHARE_NOT_FACT_60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65077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64832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2874" s="3" t="inlineStr">
        <is>
          <t>SRC_DEEPSEEK_V3; SRC_DEEPSEEK_R1; SRC_DEEPSEEK_H800_INFERENCE; SRC_SEMIANALYSIS_INFERENCEX; ASSUMP_NUMERIC_ACCELERATOR_MIX</t>
        </is>
      </c>
      <c r="K2874" s="3" t="inlineStr">
        <is>
          <t>ASSUMP_MOE_EFFICIENCY; ASSUMP_CN_CAPACITY_TRANSPARENCY; ASSUMP_NUMERIC_ACCELERATOR_MIX; ASSUMP_INFERENCE_SHARE_NOT_FACT_60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4722051686400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1723548865536000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129718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h200_share*h200_reference + b200_share*b200_reference + gb200_share*gb200_reference + purpose_built_share*purpose_built_reference</t>
        </is>
      </c>
      <c r="I2889" s="3" t="inlineStr">
        <is>
          <t>Selected InferenceX proxy model: qwen3.5. Each GPU-generation reference is public benchmark input or documented B200 placeholder, not measured company production throughput.</t>
        </is>
      </c>
      <c r="J2889" s="3" t="inlineStr">
        <is>
          <t>SRC_SEMIANALYSIS_INFERENCEX; ASSUMP_NUMERIC_ACCELERATOR_MIX</t>
        </is>
      </c>
      <c r="K2889" s="3" t="inlineStr">
        <is>
          <t>ASSUMP_MOE_EFFICIENCY; ASSUMP_CN_CAPACITY_TRANSPARENCY; ASSUMP_NUMERIC_ACCELERATOR_MIX; ASSUMP_INFERENCE_SHARE_NOT_FACT_60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Closed-model, reasoning, long-context and SLO mismatch is made explicit rather than hiding it in the benchmark.</t>
        </is>
      </c>
      <c r="J2890" s="3" t="inlineStr">
        <is>
          <t>SRC_SEMIANALYSIS_INFERENCEX; ASSUMP_NUMERIC_ACCELERATOR_MIX</t>
        </is>
      </c>
      <c r="K2890" s="3" t="inlineStr">
        <is>
          <t>ASSUMP_MOE_EFFICIENCY; ASSUMP_CN_CAPACITY_TRANSPARENCY; ASSUMP_NUMERIC_ACCELERATOR_MIX; ASSUMP_INFERENCE_SHARE_NOT_FACT_60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129718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it is intentionally below the raw public reference unless the commercial workload is closely matched.</t>
        </is>
      </c>
      <c r="J2891" s="3" t="inlineStr">
        <is>
          <t>SRC_SEMIANALYSIS_INFERENCEX; ASSUMP_NUMERIC_ACCELERATOR_MIX</t>
        </is>
      </c>
      <c r="K2891" s="3" t="inlineStr">
        <is>
          <t>ASSUMP_MOE_EFFICIENCY; ASSUMP_CN_CAPACITY_TRANSPARENCY; ASSUMP_NUMERIC_ACCELERATOR_MIX; ASSUMP_INFERENCE_SHARE_NOT_FACT_60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178342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129718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2897" s="3" t="inlineStr">
        <is>
          <t>SRC_QWEN3_GITHUB; SRC_ALIBABA_QWEN_GPU_DEPLOY; SRC_SEMIANALYSIS_INFERENCEX; ASSUMP_NUMERIC_ACCELERATOR_MIX</t>
        </is>
      </c>
      <c r="K2897" s="3" t="inlineStr">
        <is>
          <t>ASSUMP_MOE_EFFICIENCY; ASSUMP_CN_CAPACITY_TRANSPARENCY; ASSUMP_NUMERIC_ACCELERATOR_MIX; ASSUMP_INFERENCE_SHARE_NOT_FACT_60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3395913465600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1239508414944000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139619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h200_share*h200_reference + b200_share*b200_reference + gb200_share*gb200_reference + purpose_built_share*purpose_built_reference</t>
        </is>
      </c>
      <c r="I2912" s="3" t="inlineStr">
        <is>
          <t>Selected InferenceX proxy model: qwen3.5. Each GPU-generation reference is public benchmark input or documented B200 placeholder, not measured company production throughput.</t>
        </is>
      </c>
      <c r="J2912" s="3" t="inlineStr">
        <is>
          <t>SRC_SEMIANALYSIS_INFERENCEX; ASSUMP_NUMERIC_ACCELERATOR_MIX</t>
        </is>
      </c>
      <c r="K2912" s="3" t="inlineStr">
        <is>
          <t>ASSUMP_MOE_EFFICIENCY; ASSUMP_CN_CAPACITY_TRANSPARENCY; ASSUMP_NUMERIC_ACCELERATOR_MIX; ASSUMP_INFERENCE_SHARE_NOT_FACT_60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Closed-model, reasoning, long-context and SLO mismatch is made explicit rather than hiding it in the benchmark.</t>
        </is>
      </c>
      <c r="J2913" s="3" t="inlineStr">
        <is>
          <t>SRC_SEMIANALYSIS_INFERENCEX; ASSUMP_NUMERIC_ACCELERATOR_MIX</t>
        </is>
      </c>
      <c r="K2913" s="3" t="inlineStr">
        <is>
          <t>ASSUMP_MOE_EFFICIENCY; ASSUMP_CN_CAPACITY_TRANSPARENCY; ASSUMP_NUMERIC_ACCELERATOR_MIX; ASSUMP_INFERENCE_SHARE_NOT_FACT_60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139619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it is intentionally below the raw public reference unless the commercial workload is closely matched.</t>
        </is>
      </c>
      <c r="J2914" s="3" t="inlineStr">
        <is>
          <t>SRC_SEMIANALYSIS_INFERENCEX; ASSUMP_NUMERIC_ACCELERATOR_MIX</t>
        </is>
      </c>
      <c r="K2914" s="3" t="inlineStr">
        <is>
          <t>ASSUMP_MOE_EFFICIENCY; ASSUMP_CN_CAPACITY_TRANSPARENCY; ASSUMP_NUMERIC_ACCELERATOR_MIX; ASSUMP_INFERENCE_SHARE_NOT_FACT_60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178342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139619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2920" s="3" t="inlineStr">
        <is>
          <t>SRC_QWEN3_GITHUB; SRC_ALIBABA_QWEN_GPU_DEPLOY; SRC_SEMIANALYSIS_INFERENCEX; ASSUMP_NUMERIC_ACCELERATOR_MIX</t>
        </is>
      </c>
      <c r="K2920" s="3" t="inlineStr">
        <is>
          <t>ASSUMP_MOE_EFFICIENCY; ASSUMP_CN_CAPACITY_TRANSPARENCY; ASSUMP_NUMERIC_ACCELERATOR_MIX; ASSUMP_INFERENCE_SHARE_NOT_FACT_60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8118453916800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2963235679632000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149609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h200_share*h200_reference + b200_share*b200_reference + gb200_share*gb200_reference + purpose_built_share*purpose_built_reference</t>
        </is>
      </c>
      <c r="I2935" s="3" t="inlineStr">
        <is>
          <t>Selected InferenceX proxy model: qwen3.5. Each GPU-generation reference is public benchmark input or documented B200 placeholder, not measured company production throughput.</t>
        </is>
      </c>
      <c r="J2935" s="3" t="inlineStr">
        <is>
          <t>SRC_SEMIANALYSIS_INFERENCEX; ASSUMP_NUMERIC_ACCELERATOR_MIX</t>
        </is>
      </c>
      <c r="K2935" s="3" t="inlineStr">
        <is>
          <t>ASSUMP_MOE_EFFICIENCY; ASSUMP_CN_CAPACITY_TRANSPARENCY; ASSUMP_NUMERIC_ACCELERATOR_MIX; ASSUMP_INFERENCE_SHARE_NOT_FACT_60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Closed-model, reasoning, long-context and SLO mismatch is made explicit rather than hiding it in the benchmark.</t>
        </is>
      </c>
      <c r="J2936" s="3" t="inlineStr">
        <is>
          <t>SRC_SEMIANALYSIS_INFERENCEX; ASSUMP_NUMERIC_ACCELERATOR_MIX</t>
        </is>
      </c>
      <c r="K2936" s="3" t="inlineStr">
        <is>
          <t>ASSUMP_MOE_EFFICIENCY; ASSUMP_CN_CAPACITY_TRANSPARENCY; ASSUMP_NUMERIC_ACCELERATOR_MIX; ASSUMP_INFERENCE_SHARE_NOT_FACT_60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149609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it is intentionally below the raw public reference unless the commercial workload is closely matched.</t>
        </is>
      </c>
      <c r="J2937" s="3" t="inlineStr">
        <is>
          <t>SRC_SEMIANALYSIS_INFERENCEX; ASSUMP_NUMERIC_ACCELERATOR_MIX</t>
        </is>
      </c>
      <c r="K2937" s="3" t="inlineStr">
        <is>
          <t>ASSUMP_MOE_EFFICIENCY; ASSUMP_CN_CAPACITY_TRANSPARENCY; ASSUMP_NUMERIC_ACCELERATOR_MIX; ASSUMP_INFERENCE_SHARE_NOT_FACT_60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178342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149609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2943" s="3" t="inlineStr">
        <is>
          <t>SRC_QWEN3_GITHUB; SRC_ALIBABA_QWEN_GPU_DEPLOY; SRC_SEMIANALYSIS_INFERENCEX; ASSUMP_NUMERIC_ACCELERATOR_MIX</t>
        </is>
      </c>
      <c r="K2943" s="3" t="inlineStr">
        <is>
          <t>ASSUMP_MOE_EFFICIENCY; ASSUMP_CN_CAPACITY_TRANSPARENCY; ASSUMP_NUMERIC_ACCELERATOR_MIX; ASSUMP_INFERENCE_SHARE_NOT_FACT_60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14490289929600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5288955824304000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159511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h200_share*h200_reference + b200_share*b200_reference + gb200_share*gb200_reference + purpose_built_share*purpose_built_reference</t>
        </is>
      </c>
      <c r="I2958" s="3" t="inlineStr">
        <is>
          <t>Selected InferenceX proxy model: qwen3.5. Each GPU-generation reference is public benchmark input or documented B200 placeholder, not measured company production throughput.</t>
        </is>
      </c>
      <c r="J2958" s="3" t="inlineStr">
        <is>
          <t>SRC_SEMIANALYSIS_INFERENCEX; ASSUMP_NUMERIC_ACCELERATOR_MIX</t>
        </is>
      </c>
      <c r="K2958" s="3" t="inlineStr">
        <is>
          <t>ASSUMP_MOE_EFFICIENCY; ASSUMP_CN_CAPACITY_TRANSPARENCY; ASSUMP_NUMERIC_ACCELERATOR_MIX; ASSUMP_INFERENCE_SHARE_NOT_FACT_60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Closed-model, reasoning, long-context and SLO mismatch is made explicit rather than hiding it in the benchmark.</t>
        </is>
      </c>
      <c r="J2959" s="3" t="inlineStr">
        <is>
          <t>SRC_SEMIANALYSIS_INFERENCEX; ASSUMP_NUMERIC_ACCELERATOR_MIX</t>
        </is>
      </c>
      <c r="K2959" s="3" t="inlineStr">
        <is>
          <t>ASSUMP_MOE_EFFICIENCY; ASSUMP_CN_CAPACITY_TRANSPARENCY; ASSUMP_NUMERIC_ACCELERATOR_MIX; ASSUMP_INFERENCE_SHARE_NOT_FACT_60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159511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it is intentionally below the raw public reference unless the commercial workload is closely matched.</t>
        </is>
      </c>
      <c r="J2960" s="3" t="inlineStr">
        <is>
          <t>SRC_SEMIANALYSIS_INFERENCEX; ASSUMP_NUMERIC_ACCELERATOR_MIX</t>
        </is>
      </c>
      <c r="K2960" s="3" t="inlineStr">
        <is>
          <t>ASSUMP_MOE_EFFICIENCY; ASSUMP_CN_CAPACITY_TRANSPARENCY; ASSUMP_NUMERIC_ACCELERATOR_MIX; ASSUMP_INFERENCE_SHARE_NOT_FACT_60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178342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159511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2966" s="3" t="inlineStr">
        <is>
          <t>SRC_QWEN3_GITHUB; SRC_ALIBABA_QWEN_GPU_DEPLOY; SRC_SEMIANALYSIS_INFERENCEX; ASSUMP_NUMERIC_ACCELERATOR_MIX</t>
        </is>
      </c>
      <c r="K2966" s="3" t="inlineStr">
        <is>
          <t>ASSUMP_MOE_EFFICIENCY; ASSUMP_CN_CAPACITY_TRANSPARENCY; ASSUMP_NUMERIC_ACCELERATOR_MIX; ASSUMP_INFERENCE_SHARE_NOT_FACT_60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22767451660800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8310119856192000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169501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h200_share*h200_reference + b200_share*b200_reference + gb200_share*gb200_reference + purpose_built_share*purpose_built_reference</t>
        </is>
      </c>
      <c r="I2981" s="3" t="inlineStr">
        <is>
          <t>Selected InferenceX proxy model: qwen3.5. Each GPU-generation reference is public benchmark input or documented B200 placeholder, not measured company production throughput.</t>
        </is>
      </c>
      <c r="J2981" s="3" t="inlineStr">
        <is>
          <t>SRC_SEMIANALYSIS_INFERENCEX; ASSUMP_NUMERIC_ACCELERATOR_MIX</t>
        </is>
      </c>
      <c r="K2981" s="3" t="inlineStr">
        <is>
          <t>ASSUMP_MOE_EFFICIENCY; ASSUMP_CN_CAPACITY_TRANSPARENCY; ASSUMP_NUMERIC_ACCELERATOR_MIX; ASSUMP_INFERENCE_SHARE_NOT_FACT_60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Closed-model, reasoning, long-context and SLO mismatch is made explicit rather than hiding it in the benchmark.</t>
        </is>
      </c>
      <c r="J2982" s="3" t="inlineStr">
        <is>
          <t>SRC_SEMIANALYSIS_INFERENCEX; ASSUMP_NUMERIC_ACCELERATOR_MIX</t>
        </is>
      </c>
      <c r="K2982" s="3" t="inlineStr">
        <is>
          <t>ASSUMP_MOE_EFFICIENCY; ASSUMP_CN_CAPACITY_TRANSPARENCY; ASSUMP_NUMERIC_ACCELERATOR_MIX; ASSUMP_INFERENCE_SHARE_NOT_FACT_60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169501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it is intentionally below the raw public reference unless the commercial workload is closely matched.</t>
        </is>
      </c>
      <c r="J2983" s="3" t="inlineStr">
        <is>
          <t>SRC_SEMIANALYSIS_INFERENCEX; ASSUMP_NUMERIC_ACCELERATOR_MIX</t>
        </is>
      </c>
      <c r="K2983" s="3" t="inlineStr">
        <is>
          <t>ASSUMP_MOE_EFFICIENCY; ASSUMP_CN_CAPACITY_TRANSPARENCY; ASSUMP_NUMERIC_ACCELERATOR_MIX; ASSUMP_INFERENCE_SHARE_NOT_FACT_60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178342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169501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2989" s="3" t="inlineStr">
        <is>
          <t>SRC_QWEN3_GITHUB; SRC_ALIBABA_QWEN_GPU_DEPLOY; SRC_SEMIANALYSIS_INFERENCEX; ASSUMP_NUMERIC_ACCELERATOR_MIX</t>
        </is>
      </c>
      <c r="K2989" s="3" t="inlineStr">
        <is>
          <t>ASSUMP_MOE_EFFICIENCY; ASSUMP_CN_CAPACITY_TRANSPARENCY; ASSUMP_NUMERIC_ACCELERATOR_MIX; ASSUMP_INFERENCE_SHARE_NOT_FACT_60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33229247241600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1.2128675243184e+16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528791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h200_share*h200_reference + b200_share*b200_reference + gb200_share*gb200_reference + purpose_built_share*purpose_built_reference</t>
        </is>
      </c>
      <c r="I3004" s="3" t="inlineStr">
        <is>
          <t>Selected InferenceX proxy model: gptoss120b. Each GPU-generation reference is public benchmark input or documented B200 placeholder, not measured company production throughput.</t>
        </is>
      </c>
      <c r="J3004" s="3" t="inlineStr">
        <is>
          <t>SRC_SEMIANALYSIS_INFERENCEX; ASSUMP_NUMERIC_ACCELERATOR_MIX</t>
        </is>
      </c>
      <c r="K3004" s="3" t="inlineStr">
        <is>
          <t>ASSUMP_CN_CAPACITY_TRANSPARENCY; ASSUMP_APP_EMBEDDING; ASSUMP_NUMERIC_ACCELERATOR_MIX; ASSUMP_INFERENCE_SHARE_NOT_FACT_60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Closed-model, reasoning, long-context and SLO mismatch is made explicit rather than hiding it in the benchmark.</t>
        </is>
      </c>
      <c r="J3005" s="3" t="inlineStr">
        <is>
          <t>SRC_SEMIANALYSIS_INFERENCEX; ASSUMP_NUMERIC_ACCELERATOR_MIX</t>
        </is>
      </c>
      <c r="K3005" s="3" t="inlineStr">
        <is>
          <t>ASSUMP_CN_CAPACITY_TRANSPARENCY; ASSUMP_APP_EMBEDDING; ASSUMP_NUMERIC_ACCELERATOR_MIX; ASSUMP_INFERENCE_SHARE_NOT_FACT_60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423033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it is intentionally below the raw public reference unless the commercial workload is closely matched.</t>
        </is>
      </c>
      <c r="J3006" s="3" t="inlineStr">
        <is>
          <t>SRC_SEMIANALYSIS_INFERENCEX; ASSUMP_NUMERIC_ACCELERATOR_MIX</t>
        </is>
      </c>
      <c r="K3006" s="3" t="inlineStr">
        <is>
          <t>ASSUMP_CN_CAPACITY_TRANSPARENCY; ASSUMP_APP_EMBEDDING; ASSUMP_NUMERIC_ACCELERATOR_MIX; ASSUMP_INFERENCE_SHARE_NOT_FACT_60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578766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423033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3012" s="3" t="inlineStr">
        <is>
          <t>SRC_TENCENT_HUNYUAN; SRC_TENCENT_HY3; SRC_TENCENT_AI_INFRA_MOE; SRC_SEMIANALYSIS_INFERENCEX; ASSUMP_NUMERIC_ACCELERATOR_MIX</t>
        </is>
      </c>
      <c r="K3012" s="3" t="inlineStr">
        <is>
          <t>ASSUMP_CN_CAPACITY_TRANSPARENCY; ASSUMP_APP_EMBEDDING; ASSUMP_NUMERIC_ACCELERATOR_MIX; ASSUMP_INFERENCE_SHARE_NOT_FACT_60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7675510752000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2801561424480000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568432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h200_share*h200_reference + b200_share*b200_reference + gb200_share*gb200_reference + purpose_built_share*purpose_built_reference</t>
        </is>
      </c>
      <c r="I3027" s="3" t="inlineStr">
        <is>
          <t>Selected InferenceX proxy model: gptoss120b. Each GPU-generation reference is public benchmark input or documented B200 placeholder, not measured company production throughput.</t>
        </is>
      </c>
      <c r="J3027" s="3" t="inlineStr">
        <is>
          <t>SRC_SEMIANALYSIS_INFERENCEX; ASSUMP_NUMERIC_ACCELERATOR_MIX</t>
        </is>
      </c>
      <c r="K3027" s="3" t="inlineStr">
        <is>
          <t>ASSUMP_CN_CAPACITY_TRANSPARENCY; ASSUMP_APP_EMBEDDING; ASSUMP_NUMERIC_ACCELERATOR_MIX; ASSUMP_INFERENCE_SHARE_NOT_FACT_60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Closed-model, reasoning, long-context and SLO mismatch is made explicit rather than hiding it in the benchmark.</t>
        </is>
      </c>
      <c r="J3028" s="3" t="inlineStr">
        <is>
          <t>SRC_SEMIANALYSIS_INFERENCEX; ASSUMP_NUMERIC_ACCELERATOR_MIX</t>
        </is>
      </c>
      <c r="K3028" s="3" t="inlineStr">
        <is>
          <t>ASSUMP_CN_CAPACITY_TRANSPARENCY; ASSUMP_APP_EMBEDDING; ASSUMP_NUMERIC_ACCELERATOR_MIX; ASSUMP_INFERENCE_SHARE_NOT_FACT_60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454746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it is intentionally below the raw public reference unless the commercial workload is closely matched.</t>
        </is>
      </c>
      <c r="J3029" s="3" t="inlineStr">
        <is>
          <t>SRC_SEMIANALYSIS_INFERENCEX; ASSUMP_NUMERIC_ACCELERATOR_MIX</t>
        </is>
      </c>
      <c r="K3029" s="3" t="inlineStr">
        <is>
          <t>ASSUMP_CN_CAPACITY_TRANSPARENCY; ASSUMP_APP_EMBEDDING; ASSUMP_NUMERIC_ACCELERATOR_MIX; ASSUMP_INFERENCE_SHARE_NOT_FACT_60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578766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454746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3035" s="3" t="inlineStr">
        <is>
          <t>SRC_TENCENT_HUNYUAN; SRC_TENCENT_HY3; SRC_TENCENT_AI_INFRA_MOE; SRC_SEMIANALYSIS_INFERENCEX; ASSUMP_NUMERIC_ACCELERATOR_MIX</t>
        </is>
      </c>
      <c r="K3035" s="3" t="inlineStr">
        <is>
          <t>ASSUMP_CN_CAPACITY_TRANSPARENCY; ASSUMP_APP_EMBEDDING; ASSUMP_NUMERIC_ACCELERATOR_MIX; ASSUMP_INFERENCE_SHARE_NOT_FACT_60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19252126656000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7027026229440000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608428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h200_share*h200_reference + b200_share*b200_reference + gb200_share*gb200_reference + purpose_built_share*purpose_built_reference</t>
        </is>
      </c>
      <c r="I3050" s="3" t="inlineStr">
        <is>
          <t>Selected InferenceX proxy model: gptoss120b. Each GPU-generation reference is public benchmark input or documented B200 placeholder, not measured company production throughput.</t>
        </is>
      </c>
      <c r="J3050" s="3" t="inlineStr">
        <is>
          <t>SRC_SEMIANALYSIS_INFERENCEX; ASSUMP_NUMERIC_ACCELERATOR_MIX</t>
        </is>
      </c>
      <c r="K3050" s="3" t="inlineStr">
        <is>
          <t>ASSUMP_CN_CAPACITY_TRANSPARENCY; ASSUMP_APP_EMBEDDING; ASSUMP_NUMERIC_ACCELERATOR_MIX; ASSUMP_INFERENCE_SHARE_NOT_FACT_60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Closed-model, reasoning, long-context and SLO mismatch is made explicit rather than hiding it in the benchmark.</t>
        </is>
      </c>
      <c r="J3051" s="3" t="inlineStr">
        <is>
          <t>SRC_SEMIANALYSIS_INFERENCEX; ASSUMP_NUMERIC_ACCELERATOR_MIX</t>
        </is>
      </c>
      <c r="K3051" s="3" t="inlineStr">
        <is>
          <t>ASSUMP_CN_CAPACITY_TRANSPARENCY; ASSUMP_APP_EMBEDDING; ASSUMP_NUMERIC_ACCELERATOR_MIX; ASSUMP_INFERENCE_SHARE_NOT_FACT_60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486742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it is intentionally below the raw public reference unless the commercial workload is closely matched.</t>
        </is>
      </c>
      <c r="J3052" s="3" t="inlineStr">
        <is>
          <t>SRC_SEMIANALYSIS_INFERENCEX; ASSUMP_NUMERIC_ACCELERATOR_MIX</t>
        </is>
      </c>
      <c r="K3052" s="3" t="inlineStr">
        <is>
          <t>ASSUMP_CN_CAPACITY_TRANSPARENCY; ASSUMP_APP_EMBEDDING; ASSUMP_NUMERIC_ACCELERATOR_MIX; ASSUMP_INFERENCE_SHARE_NOT_FACT_60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578766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486742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3058" s="3" t="inlineStr">
        <is>
          <t>SRC_TENCENT_HUNYUAN; SRC_TENCENT_HY3; SRC_TENCENT_AI_INFRA_MOE; SRC_SEMIANALYSIS_INFERENCEX; ASSUMP_NUMERIC_ACCELERATOR_MIX</t>
        </is>
      </c>
      <c r="K3058" s="3" t="inlineStr">
        <is>
          <t>ASSUMP_CN_CAPACITY_TRANSPARENCY; ASSUMP_APP_EMBEDDING; ASSUMP_NUMERIC_ACCELERATOR_MIX; ASSUMP_INFERENCE_SHARE_NOT_FACT_60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34905242304000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1.274041344096e+16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648069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h200_share*h200_reference + b200_share*b200_reference + gb200_share*gb200_reference + purpose_built_share*purpose_built_reference</t>
        </is>
      </c>
      <c r="I3073" s="3" t="inlineStr">
        <is>
          <t>Selected InferenceX proxy model: gptoss120b. Each GPU-generation reference is public benchmark input or documented B200 placeholder, not measured company production throughput.</t>
        </is>
      </c>
      <c r="J3073" s="3" t="inlineStr">
        <is>
          <t>SRC_SEMIANALYSIS_INFERENCEX; ASSUMP_NUMERIC_ACCELERATOR_MIX</t>
        </is>
      </c>
      <c r="K3073" s="3" t="inlineStr">
        <is>
          <t>ASSUMP_CN_CAPACITY_TRANSPARENCY; ASSUMP_APP_EMBEDDING; ASSUMP_NUMERIC_ACCELERATOR_MIX; ASSUMP_INFERENCE_SHARE_NOT_FACT_60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Closed-model, reasoning, long-context and SLO mismatch is made explicit rather than hiding it in the benchmark.</t>
        </is>
      </c>
      <c r="J3074" s="3" t="inlineStr">
        <is>
          <t>SRC_SEMIANALYSIS_INFERENCEX; ASSUMP_NUMERIC_ACCELERATOR_MIX</t>
        </is>
      </c>
      <c r="K3074" s="3" t="inlineStr">
        <is>
          <t>ASSUMP_CN_CAPACITY_TRANSPARENCY; ASSUMP_APP_EMBEDDING; ASSUMP_NUMERIC_ACCELERATOR_MIX; ASSUMP_INFERENCE_SHARE_NOT_FACT_60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518455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it is intentionally below the raw public reference unless the commercial workload is closely matched.</t>
        </is>
      </c>
      <c r="J3075" s="3" t="inlineStr">
        <is>
          <t>SRC_SEMIANALYSIS_INFERENCEX; ASSUMP_NUMERIC_ACCELERATOR_MIX</t>
        </is>
      </c>
      <c r="K3075" s="3" t="inlineStr">
        <is>
          <t>ASSUMP_CN_CAPACITY_TRANSPARENCY; ASSUMP_APP_EMBEDDING; ASSUMP_NUMERIC_ACCELERATOR_MIX; ASSUMP_INFERENCE_SHARE_NOT_FACT_60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578766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518455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3081" s="3" t="inlineStr">
        <is>
          <t>SRC_TENCENT_HUNYUAN; SRC_TENCENT_HY3; SRC_TENCENT_AI_INFRA_MOE; SRC_SEMIANALYSIS_INFERENCEX; ASSUMP_NUMERIC_ACCELERATOR_MIX</t>
        </is>
      </c>
      <c r="K3081" s="3" t="inlineStr">
        <is>
          <t>ASSUMP_CN_CAPACITY_TRANSPARENCY; ASSUMP_APP_EMBEDDING; ASSUMP_NUMERIC_ACCELERATOR_MIX; ASSUMP_INFERENCE_SHARE_NOT_FACT_60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55231633296000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2.015954615304e+16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688064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h200_share*h200_reference + b200_share*b200_reference + gb200_share*gb200_reference + purpose_built_share*purpose_built_reference</t>
        </is>
      </c>
      <c r="I3096" s="3" t="inlineStr">
        <is>
          <t>Selected InferenceX proxy model: gptoss120b. Each GPU-generation reference is public benchmark input or documented B200 placeholder, not measured company production throughput.</t>
        </is>
      </c>
      <c r="J3096" s="3" t="inlineStr">
        <is>
          <t>SRC_SEMIANALYSIS_INFERENCEX; ASSUMP_NUMERIC_ACCELERATOR_MIX</t>
        </is>
      </c>
      <c r="K3096" s="3" t="inlineStr">
        <is>
          <t>ASSUMP_CN_CAPACITY_TRANSPARENCY; ASSUMP_APP_EMBEDDING; ASSUMP_NUMERIC_ACCELERATOR_MIX; ASSUMP_INFERENCE_SHARE_NOT_FACT_60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Closed-model, reasoning, long-context and SLO mismatch is made explicit rather than hiding it in the benchmark.</t>
        </is>
      </c>
      <c r="J3097" s="3" t="inlineStr">
        <is>
          <t>SRC_SEMIANALYSIS_INFERENCEX; ASSUMP_NUMERIC_ACCELERATOR_MIX</t>
        </is>
      </c>
      <c r="K3097" s="3" t="inlineStr">
        <is>
          <t>ASSUMP_CN_CAPACITY_TRANSPARENCY; ASSUMP_APP_EMBEDDING; ASSUMP_NUMERIC_ACCELERATOR_MIX; ASSUMP_INFERENCE_SHARE_NOT_FACT_60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550451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it is intentionally below the raw public reference unless the commercial workload is closely matched.</t>
        </is>
      </c>
      <c r="J3098" s="3" t="inlineStr">
        <is>
          <t>SRC_SEMIANALYSIS_INFERENCEX; ASSUMP_NUMERIC_ACCELERATOR_MIX</t>
        </is>
      </c>
      <c r="K3098" s="3" t="inlineStr">
        <is>
          <t>ASSUMP_CN_CAPACITY_TRANSPARENCY; ASSUMP_APP_EMBEDDING; ASSUMP_NUMERIC_ACCELERATOR_MIX; ASSUMP_INFERENCE_SHARE_NOT_FACT_60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578766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550451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3104" s="3" t="inlineStr">
        <is>
          <t>SRC_TENCENT_HUNYUAN; SRC_TENCENT_HY3; SRC_TENCENT_AI_INFRA_MOE; SRC_SEMIANALYSIS_INFERENCEX; ASSUMP_NUMERIC_ACCELERATOR_MIX</t>
        </is>
      </c>
      <c r="K3104" s="3" t="inlineStr">
        <is>
          <t>ASSUMP_CN_CAPACITY_TRANSPARENCY; ASSUMP_APP_EMBEDDING; ASSUMP_NUMERIC_ACCELERATOR_MIX; ASSUMP_INFERENCE_SHARE_NOT_FACT_60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80945360812800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2.9545056696672e+16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548258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h200_share*h200_reference + b200_share*b200_reference + gb200_share*gb200_reference + purpose_built_share*purpose_built_reference</t>
        </is>
      </c>
      <c r="I3119" s="3" t="inlineStr">
        <is>
          <t>Selected InferenceX proxy model: gptoss120b. Each GPU-generation reference is public benchmark input or documented B200 placeholder, not measured company production throughput.</t>
        </is>
      </c>
      <c r="J3119" s="3" t="inlineStr">
        <is>
          <t>SRC_SEMIANALYSIS_INFERENCEX; ASSUMP_NUMERIC_ACCELERATOR_MIX</t>
        </is>
      </c>
      <c r="K3119" s="3" t="inlineStr">
        <is>
          <t>ASSUMP_POWER_RAMP; ASSUMP_MS_OPENAI_ATTRIBUTION; ASSUMP_NUMERIC_ACCELERATOR_MIX; ASSUMP_INFERENCE_SHARE_NOT_FACT_60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Closed-model, reasoning, long-context and SLO mismatch is made explicit rather than hiding it in the benchmark.</t>
        </is>
      </c>
      <c r="J3120" s="3" t="inlineStr">
        <is>
          <t>SRC_SEMIANALYSIS_INFERENCEX; ASSUMP_NUMERIC_ACCELERATOR_MIX</t>
        </is>
      </c>
      <c r="K3120" s="3" t="inlineStr">
        <is>
          <t>ASSUMP_POWER_RAMP; ASSUMP_MS_OPENAI_ATTRIBUTION; ASSUMP_NUMERIC_ACCELERATOR_MIX; ASSUMP_INFERENCE_SHARE_NOT_FACT_60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328955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it is intentionally below the raw public reference unless the commercial workload is closely matched.</t>
        </is>
      </c>
      <c r="J3121" s="3" t="inlineStr">
        <is>
          <t>SRC_SEMIANALYSIS_INFERENCEX; ASSUMP_NUMERIC_ACCELERATOR_MIX</t>
        </is>
      </c>
      <c r="K3121" s="3" t="inlineStr">
        <is>
          <t>ASSUMP_POWER_RAMP; ASSUMP_MS_OPENAI_ATTRIBUTION; ASSUMP_NUMERIC_ACCELERATOR_MIX; ASSUMP_INFERENCE_SHARE_NOT_FACT_60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434075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328955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3127" s="3" t="inlineStr">
        <is>
          <t>SRC_MS_PHI; SRC_OPENAI_GPT41_DOCS; SRC_MS_PHI4_TECHREPORT; SRC_MS_MAIA200; SRC_SEMIANALYSIS_INFERENCEX; ASSUMP_NUMERIC_ACCELERATOR_MIX</t>
        </is>
      </c>
      <c r="K3127" s="3" t="inlineStr">
        <is>
          <t>ASSUMP_POWER_RAMP; ASSUMP_MS_OPENAI_ATTRIBUTION; ASSUMP_NUMERIC_ACCELERATOR_MIX; ASSUMP_INFERENCE_SHARE_NOT_FACT_60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18388847664000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6711929397360000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597809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h200_share*h200_reference + b200_share*b200_reference + gb200_share*gb200_reference + purpose_built_share*purpose_built_reference</t>
        </is>
      </c>
      <c r="I3142" s="3" t="inlineStr">
        <is>
          <t>Selected InferenceX proxy model: gptoss120b. Each GPU-generation reference is public benchmark input or documented B200 placeholder, not measured company production throughput.</t>
        </is>
      </c>
      <c r="J3142" s="3" t="inlineStr">
        <is>
          <t>SRC_SEMIANALYSIS_INFERENCEX; ASSUMP_NUMERIC_ACCELERATOR_MIX</t>
        </is>
      </c>
      <c r="K3142" s="3" t="inlineStr">
        <is>
          <t>ASSUMP_POWER_RAMP; ASSUMP_MS_OPENAI_ATTRIBUTION; ASSUMP_NUMERIC_ACCELERATOR_MIX; ASSUMP_INFERENCE_SHARE_NOT_FACT_60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Closed-model, reasoning, long-context and SLO mismatch is made explicit rather than hiding it in the benchmark.</t>
        </is>
      </c>
      <c r="J3143" s="3" t="inlineStr">
        <is>
          <t>SRC_SEMIANALYSIS_INFERENCEX; ASSUMP_NUMERIC_ACCELERATOR_MIX</t>
        </is>
      </c>
      <c r="K3143" s="3" t="inlineStr">
        <is>
          <t>ASSUMP_POWER_RAMP; ASSUMP_MS_OPENAI_ATTRIBUTION; ASSUMP_NUMERIC_ACCELERATOR_MIX; ASSUMP_INFERENCE_SHARE_NOT_FACT_60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358685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it is intentionally below the raw public reference unless the commercial workload is closely matched.</t>
        </is>
      </c>
      <c r="J3144" s="3" t="inlineStr">
        <is>
          <t>SRC_SEMIANALYSIS_INFERENCEX; ASSUMP_NUMERIC_ACCELERATOR_MIX</t>
        </is>
      </c>
      <c r="K3144" s="3" t="inlineStr">
        <is>
          <t>ASSUMP_POWER_RAMP; ASSUMP_MS_OPENAI_ATTRIBUTION; ASSUMP_NUMERIC_ACCELERATOR_MIX; ASSUMP_INFERENCE_SHARE_NOT_FACT_60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434075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358685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3150" s="3" t="inlineStr">
        <is>
          <t>SRC_MS_PHI; SRC_OPENAI_GPT41_DOCS; SRC_MS_PHI4_TECHREPORT; SRC_MS_MAIA200; SRC_SEMIANALYSIS_INFERENCEX; ASSUMP_NUMERIC_ACCELERATOR_MIX</t>
        </is>
      </c>
      <c r="K3150" s="3" t="inlineStr">
        <is>
          <t>ASSUMP_POWER_RAMP; ASSUMP_MS_OPENAI_ATTRIBUTION; ASSUMP_NUMERIC_ACCELERATOR_MIX; ASSUMP_INFERENCE_SHARE_NOT_FACT_60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33810508944000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1.234083576456e+16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639928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h200_share*h200_reference + b200_share*b200_reference + gb200_share*gb200_reference + purpose_built_share*purpose_built_reference</t>
        </is>
      </c>
      <c r="I3165" s="3" t="inlineStr">
        <is>
          <t>Selected InferenceX proxy model: gptoss120b. Each GPU-generation reference is public benchmark input or documented B200 placeholder, not measured company production throughput.</t>
        </is>
      </c>
      <c r="J3165" s="3" t="inlineStr">
        <is>
          <t>SRC_SEMIANALYSIS_INFERENCEX; ASSUMP_NUMERIC_ACCELERATOR_MIX</t>
        </is>
      </c>
      <c r="K3165" s="3" t="inlineStr">
        <is>
          <t>ASSUMP_POWER_RAMP; ASSUMP_MS_OPENAI_ATTRIBUTION; ASSUMP_NUMERIC_ACCELERATOR_MIX; ASSUMP_INFERENCE_SHARE_NOT_FACT_60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Closed-model, reasoning, long-context and SLO mismatch is made explicit rather than hiding it in the benchmark.</t>
        </is>
      </c>
      <c r="J3166" s="3" t="inlineStr">
        <is>
          <t>SRC_SEMIANALYSIS_INFERENCEX; ASSUMP_NUMERIC_ACCELERATOR_MIX</t>
        </is>
      </c>
      <c r="K3166" s="3" t="inlineStr">
        <is>
          <t>ASSUMP_POWER_RAMP; ASSUMP_MS_OPENAI_ATTRIBUTION; ASSUMP_NUMERIC_ACCELERATOR_MIX; ASSUMP_INFERENCE_SHARE_NOT_FACT_60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383957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it is intentionally below the raw public reference unless the commercial workload is closely matched.</t>
        </is>
      </c>
      <c r="J3167" s="3" t="inlineStr">
        <is>
          <t>SRC_SEMIANALYSIS_INFERENCEX; ASSUMP_NUMERIC_ACCELERATOR_MIX</t>
        </is>
      </c>
      <c r="K3167" s="3" t="inlineStr">
        <is>
          <t>ASSUMP_POWER_RAMP; ASSUMP_MS_OPENAI_ATTRIBUTION; ASSUMP_NUMERIC_ACCELERATOR_MIX; ASSUMP_INFERENCE_SHARE_NOT_FACT_60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434075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383957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3173" s="3" t="inlineStr">
        <is>
          <t>SRC_MS_PHI; SRC_OPENAI_GPT41_DOCS; SRC_MS_PHI4_TECHREPORT; SRC_MS_MAIA200; SRC_SEMIANALYSIS_INFERENCEX; ASSUMP_NUMERIC_ACCELERATOR_MIX</t>
        </is>
      </c>
      <c r="K3173" s="3" t="inlineStr">
        <is>
          <t>ASSUMP_POWER_RAMP; ASSUMP_MS_OPENAI_ATTRIBUTION; ASSUMP_NUMERIC_ACCELERATOR_MIX; ASSUMP_INFERENCE_SHARE_NOT_FACT_60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51718086403200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1.8877101537168e+16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675676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h200_share*h200_reference + b200_share*b200_reference + gb200_share*gb200_reference + purpose_built_share*purpose_built_reference</t>
        </is>
      </c>
      <c r="I3188" s="3" t="inlineStr">
        <is>
          <t>Selected InferenceX proxy model: gptoss120b. Each GPU-generation reference is public benchmark input or documented B200 placeholder, not measured company production throughput.</t>
        </is>
      </c>
      <c r="J3188" s="3" t="inlineStr">
        <is>
          <t>SRC_SEMIANALYSIS_INFERENCEX; ASSUMP_NUMERIC_ACCELERATOR_MIX</t>
        </is>
      </c>
      <c r="K3188" s="3" t="inlineStr">
        <is>
          <t>ASSUMP_POWER_RAMP; ASSUMP_MS_OPENAI_ATTRIBUTION; ASSUMP_NUMERIC_ACCELERATOR_MIX; ASSUMP_INFERENCE_SHARE_NOT_FACT_60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Closed-model, reasoning, long-context and SLO mismatch is made explicit rather than hiding it in the benchmark.</t>
        </is>
      </c>
      <c r="J3189" s="3" t="inlineStr">
        <is>
          <t>SRC_SEMIANALYSIS_INFERENCEX; ASSUMP_NUMERIC_ACCELERATOR_MIX</t>
        </is>
      </c>
      <c r="K3189" s="3" t="inlineStr">
        <is>
          <t>ASSUMP_POWER_RAMP; ASSUMP_MS_OPENAI_ATTRIBUTION; ASSUMP_NUMERIC_ACCELERATOR_MIX; ASSUMP_INFERENCE_SHARE_NOT_FACT_60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405406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it is intentionally below the raw public reference unless the commercial workload is closely matched.</t>
        </is>
      </c>
      <c r="J3190" s="3" t="inlineStr">
        <is>
          <t>SRC_SEMIANALYSIS_INFERENCEX; ASSUMP_NUMERIC_ACCELERATOR_MIX</t>
        </is>
      </c>
      <c r="K3190" s="3" t="inlineStr">
        <is>
          <t>ASSUMP_POWER_RAMP; ASSUMP_MS_OPENAI_ATTRIBUTION; ASSUMP_NUMERIC_ACCELERATOR_MIX; ASSUMP_INFERENCE_SHARE_NOT_FACT_60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434075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405406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3196" s="3" t="inlineStr">
        <is>
          <t>SRC_MS_PHI; SRC_OPENAI_GPT41_DOCS; SRC_MS_PHI4_TECHREPORT; SRC_MS_MAIA200; SRC_SEMIANALYSIS_INFERENCEX; ASSUMP_NUMERIC_ACCELERATOR_MIX</t>
        </is>
      </c>
      <c r="K3196" s="3" t="inlineStr">
        <is>
          <t>ASSUMP_POWER_RAMP; ASSUMP_MS_OPENAI_ATTRIBUTION; ASSUMP_NUMERIC_ACCELERATOR_MIX; ASSUMP_INFERENCE_SHARE_NOT_FACT_60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71525294092800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2.6106732343872e+16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703991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h200_share*h200_reference + b200_share*b200_reference + gb200_share*gb200_reference + purpose_built_share*purpose_built_reference</t>
        </is>
      </c>
      <c r="I3211" s="3" t="inlineStr">
        <is>
          <t>Selected InferenceX proxy model: gptoss120b. Each GPU-generation reference is public benchmark input or documented B200 placeholder, not measured company production throughput.</t>
        </is>
      </c>
      <c r="J3211" s="3" t="inlineStr">
        <is>
          <t>SRC_SEMIANALYSIS_INFERENCEX; ASSUMP_NUMERIC_ACCELERATOR_MIX</t>
        </is>
      </c>
      <c r="K3211" s="3" t="inlineStr">
        <is>
          <t>ASSUMP_POWER_RAMP; ASSUMP_MS_OPENAI_ATTRIBUTION; ASSUMP_NUMERIC_ACCELERATOR_MIX; ASSUMP_INFERENCE_SHARE_NOT_FACT_60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Closed-model, reasoning, long-context and SLO mismatch is made explicit rather than hiding it in the benchmark.</t>
        </is>
      </c>
      <c r="J3212" s="3" t="inlineStr">
        <is>
          <t>SRC_SEMIANALYSIS_INFERENCEX; ASSUMP_NUMERIC_ACCELERATOR_MIX</t>
        </is>
      </c>
      <c r="K3212" s="3" t="inlineStr">
        <is>
          <t>ASSUMP_POWER_RAMP; ASSUMP_MS_OPENAI_ATTRIBUTION; ASSUMP_NUMERIC_ACCELERATOR_MIX; ASSUMP_INFERENCE_SHARE_NOT_FACT_60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422395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it is intentionally below the raw public reference unless the commercial workload is closely matched.</t>
        </is>
      </c>
      <c r="J3213" s="3" t="inlineStr">
        <is>
          <t>SRC_SEMIANALYSIS_INFERENCEX; ASSUMP_NUMERIC_ACCELERATOR_MIX</t>
        </is>
      </c>
      <c r="K3213" s="3" t="inlineStr">
        <is>
          <t>ASSUMP_POWER_RAMP; ASSUMP_MS_OPENAI_ATTRIBUTION; ASSUMP_NUMERIC_ACCELERATOR_MIX; ASSUMP_INFERENCE_SHARE_NOT_FACT_60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434075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422395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Common filter: model-level main_framework/main_precision only, B200, single_turn, ISL=1024, OSL=1024, output_tok_s_mw p50. Commercial workload fit factor: Copilot traffic mixes routed proprietary models and interactive SLOs; GPT-OSS is a reference ceiling, not direct telemetry.</t>
        </is>
      </c>
      <c r="J3219" s="3" t="inlineStr">
        <is>
          <t>SRC_MS_PHI; SRC_OPENAI_GPT41_DOCS; SRC_MS_PHI4_TECHREPORT; SRC_MS_MAIA200; SRC_SEMIANALYSIS_INFERENCEX; ASSUMP_NUMERIC_ACCELERATOR_MIX</t>
        </is>
      </c>
      <c r="K3219" s="3" t="inlineStr">
        <is>
          <t>ASSUMP_POWER_RAMP; ASSUMP_MS_OPENAI_ATTRIBUTION; ASSUMP_NUMERIC_ACCELERATOR_MIX; ASSUMP_INFERENCE_SHARE_NOT_FACT_60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92222683056000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3.366127931544e+16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684525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h200_share*h200_reference + b200_share*b200_reference + gb200_share*gb200_reference + purpose_built_share*purpose_built_reference</t>
        </is>
      </c>
      <c r="I3234" s="3" t="inlineStr">
        <is>
          <t>Selected InferenceX proxy model: gptoss120b. Each GPU-generation reference is public benchmark input or documented B200 placeholder, not measured company production throughput.</t>
        </is>
      </c>
      <c r="J3234" s="3" t="inlineStr">
        <is>
          <t>SRC_SEMIANALYSIS_INFERENCEX; ASSUMP_NUMERIC_ACCELERATOR_MIX</t>
        </is>
      </c>
      <c r="K3234" s="3" t="inlineStr">
        <is>
          <t>ASSUMP_TPU_EFFICIENCY; ASSUMP_POWER_RAMP; ASSUMP_NUMERIC_ACCELERATOR_MIX; ASSUMP_INFERENCE_SHARE_NOT_FACT_60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Closed-model, reasoning, long-context and SLO mismatch is made explicit rather than hiding it in the benchmark.</t>
        </is>
      </c>
      <c r="J3235" s="3" t="inlineStr">
        <is>
          <t>SRC_SEMIANALYSIS_INFERENCEX; ASSUMP_NUMERIC_ACCELERATOR_MIX</t>
        </is>
      </c>
      <c r="K3235" s="3" t="inlineStr">
        <is>
          <t>ASSUMP_TPU_EFFICIENCY; ASSUMP_POWER_RAMP; ASSUMP_NUMERIC_ACCELERATOR_MIX; ASSUMP_INFERENCE_SHARE_NOT_FACT_60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410715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it is intentionally below the raw public reference unless the commercial workload is closely matched.</t>
        </is>
      </c>
      <c r="J3236" s="3" t="inlineStr">
        <is>
          <t>SRC_SEMIANALYSIS_INFERENCEX; ASSUMP_NUMERIC_ACCELERATOR_MIX</t>
        </is>
      </c>
      <c r="K3236" s="3" t="inlineStr">
        <is>
          <t>ASSUMP_TPU_EFFICIENCY; ASSUMP_POWER_RAMP; ASSUMP_NUMERIC_ACCELERATOR_MIX; ASSUMP_INFERENCE_SHARE_NOT_FACT_60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434075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410715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3242" s="3" t="inlineStr">
        <is>
          <t>SRC_GOOGLE_GEMINI_TOKENS; SRC_GOOGLE_IRONWOOD; SRC_GOOGLE_TPU_V6E; SRC_SEMIANALYSIS_INFERENCEX; ASSUMP_NUMERIC_ACCELERATOR_MIX</t>
        </is>
      </c>
      <c r="K3242" s="3" t="inlineStr">
        <is>
          <t>ASSUMP_TPU_EFFICIENCY; ASSUMP_POWER_RAMP; ASSUMP_NUMERIC_ACCELERATOR_MIX; ASSUMP_INFERENCE_SHARE_NOT_FACT_60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29204793648000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1.065974968152e+16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696205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h200_share*h200_reference + b200_share*b200_reference + gb200_share*gb200_reference + purpose_built_share*purpose_built_reference</t>
        </is>
      </c>
      <c r="I3257" s="3" t="inlineStr">
        <is>
          <t>Selected InferenceX proxy model: gptoss120b. Each GPU-generation reference is public benchmark input or documented B200 placeholder, not measured company production throughput.</t>
        </is>
      </c>
      <c r="J3257" s="3" t="inlineStr">
        <is>
          <t>SRC_SEMIANALYSIS_INFERENCEX; ASSUMP_NUMERIC_ACCELERATOR_MIX</t>
        </is>
      </c>
      <c r="K3257" s="3" t="inlineStr">
        <is>
          <t>ASSUMP_TPU_EFFICIENCY; ASSUMP_POWER_RAMP; ASSUMP_NUMERIC_ACCELERATOR_MIX; ASSUMP_INFERENCE_SHARE_NOT_FACT_60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Closed-model, reasoning, long-context and SLO mismatch is made explicit rather than hiding it in the benchmark.</t>
        </is>
      </c>
      <c r="J3258" s="3" t="inlineStr">
        <is>
          <t>SRC_SEMIANALYSIS_INFERENCEX; ASSUMP_NUMERIC_ACCELERATOR_MIX</t>
        </is>
      </c>
      <c r="K3258" s="3" t="inlineStr">
        <is>
          <t>ASSUMP_TPU_EFFICIENCY; ASSUMP_POWER_RAMP; ASSUMP_NUMERIC_ACCELERATOR_MIX; ASSUMP_INFERENCE_SHARE_NOT_FACT_60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417723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it is intentionally below the raw public reference unless the commercial workload is closely matched.</t>
        </is>
      </c>
      <c r="J3259" s="3" t="inlineStr">
        <is>
          <t>SRC_SEMIANALYSIS_INFERENCEX; ASSUMP_NUMERIC_ACCELERATOR_MIX</t>
        </is>
      </c>
      <c r="K3259" s="3" t="inlineStr">
        <is>
          <t>ASSUMP_TPU_EFFICIENCY; ASSUMP_POWER_RAMP; ASSUMP_NUMERIC_ACCELERATOR_MIX; ASSUMP_INFERENCE_SHARE_NOT_FACT_60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434075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417723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3265" s="3" t="inlineStr">
        <is>
          <t>SRC_GOOGLE_GEMINI_TOKENS; SRC_GOOGLE_IRONWOOD; SRC_GOOGLE_TPU_V6E; SRC_SEMIANALYSIS_INFERENCEX; ASSUMP_NUMERIC_ACCELERATOR_MIX</t>
        </is>
      </c>
      <c r="K3265" s="3" t="inlineStr">
        <is>
          <t>ASSUMP_TPU_EFFICIENCY; ASSUMP_POWER_RAMP; ASSUMP_NUMERIC_ACCELERATOR_MIX; ASSUMP_INFERENCE_SHARE_NOT_FACT_60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46774282291200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1.7072613036288e+16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706115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h200_share*h200_reference + b200_share*b200_reference + gb200_share*gb200_reference + purpose_built_share*purpose_built_reference</t>
        </is>
      </c>
      <c r="I3280" s="3" t="inlineStr">
        <is>
          <t>Selected InferenceX proxy model: gptoss120b. Each GPU-generation reference is public benchmark input or documented B200 placeholder, not measured company production throughput.</t>
        </is>
      </c>
      <c r="J3280" s="3" t="inlineStr">
        <is>
          <t>SRC_SEMIANALYSIS_INFERENCEX; ASSUMP_NUMERIC_ACCELERATOR_MIX</t>
        </is>
      </c>
      <c r="K3280" s="3" t="inlineStr">
        <is>
          <t>ASSUMP_TPU_EFFICIENCY; ASSUMP_POWER_RAMP; ASSUMP_NUMERIC_ACCELERATOR_MIX; ASSUMP_INFERENCE_SHARE_NOT_FACT_60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Closed-model, reasoning, long-context and SLO mismatch is made explicit rather than hiding it in the benchmark.</t>
        </is>
      </c>
      <c r="J3281" s="3" t="inlineStr">
        <is>
          <t>SRC_SEMIANALYSIS_INFERENCEX; ASSUMP_NUMERIC_ACCELERATOR_MIX</t>
        </is>
      </c>
      <c r="K3281" s="3" t="inlineStr">
        <is>
          <t>ASSUMP_TPU_EFFICIENCY; ASSUMP_POWER_RAMP; ASSUMP_NUMERIC_ACCELERATOR_MIX; ASSUMP_INFERENCE_SHARE_NOT_FACT_60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423669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it is intentionally below the raw public reference unless the commercial workload is closely matched.</t>
        </is>
      </c>
      <c r="J3282" s="3" t="inlineStr">
        <is>
          <t>SRC_SEMIANALYSIS_INFERENCEX; ASSUMP_NUMERIC_ACCELERATOR_MIX</t>
        </is>
      </c>
      <c r="K3282" s="3" t="inlineStr">
        <is>
          <t>ASSUMP_TPU_EFFICIENCY; ASSUMP_POWER_RAMP; ASSUMP_NUMERIC_ACCELERATOR_MIX; ASSUMP_INFERENCE_SHARE_NOT_FACT_60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434075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423669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3288" s="3" t="inlineStr">
        <is>
          <t>SRC_GOOGLE_GEMINI_TOKENS; SRC_GOOGLE_IRONWOOD; SRC_GOOGLE_TPU_V6E; SRC_SEMIANALYSIS_INFERENCEX; ASSUMP_NUMERIC_ACCELERATOR_MIX</t>
        </is>
      </c>
      <c r="K3288" s="3" t="inlineStr">
        <is>
          <t>ASSUMP_TPU_EFFICIENCY; ASSUMP_POWER_RAMP; ASSUMP_NUMERIC_ACCELERATOR_MIX; ASSUMP_INFERENCE_SHARE_NOT_FACT_60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65339927856000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2.384907366744e+16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713902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h200_share*h200_reference + b200_share*b200_reference + gb200_share*gb200_reference + purpose_built_share*purpose_built_reference</t>
        </is>
      </c>
      <c r="I3303" s="3" t="inlineStr">
        <is>
          <t>Selected InferenceX proxy model: gptoss120b. Each GPU-generation reference is public benchmark input or documented B200 placeholder, not measured company production throughput.</t>
        </is>
      </c>
      <c r="J3303" s="3" t="inlineStr">
        <is>
          <t>SRC_SEMIANALYSIS_INFERENCEX; ASSUMP_NUMERIC_ACCELERATOR_MIX</t>
        </is>
      </c>
      <c r="K3303" s="3" t="inlineStr">
        <is>
          <t>ASSUMP_TPU_EFFICIENCY; ASSUMP_POWER_RAMP; ASSUMP_NUMERIC_ACCELERATOR_MIX; ASSUMP_INFERENCE_SHARE_NOT_FACT_60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Closed-model, reasoning, long-context and SLO mismatch is made explicit rather than hiding it in the benchmark.</t>
        </is>
      </c>
      <c r="J3304" s="3" t="inlineStr">
        <is>
          <t>SRC_SEMIANALYSIS_INFERENCEX; ASSUMP_NUMERIC_ACCELERATOR_MIX</t>
        </is>
      </c>
      <c r="K3304" s="3" t="inlineStr">
        <is>
          <t>ASSUMP_TPU_EFFICIENCY; ASSUMP_POWER_RAMP; ASSUMP_NUMERIC_ACCELERATOR_MIX; ASSUMP_INFERENCE_SHARE_NOT_FACT_60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428341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it is intentionally below the raw public reference unless the commercial workload is closely matched.</t>
        </is>
      </c>
      <c r="J3305" s="3" t="inlineStr">
        <is>
          <t>SRC_SEMIANALYSIS_INFERENCEX; ASSUMP_NUMERIC_ACCELERATOR_MIX</t>
        </is>
      </c>
      <c r="K3305" s="3" t="inlineStr">
        <is>
          <t>ASSUMP_TPU_EFFICIENCY; ASSUMP_POWER_RAMP; ASSUMP_NUMERIC_ACCELERATOR_MIX; ASSUMP_INFERENCE_SHARE_NOT_FACT_60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434075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428341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3311" s="3" t="inlineStr">
        <is>
          <t>SRC_GOOGLE_GEMINI_TOKENS; SRC_GOOGLE_IRONWOOD; SRC_GOOGLE_TPU_V6E; SRC_SEMIANALYSIS_INFERENCEX; ASSUMP_NUMERIC_ACCELERATOR_MIX</t>
        </is>
      </c>
      <c r="K3311" s="3" t="inlineStr">
        <is>
          <t>ASSUMP_TPU_EFFICIENCY; ASSUMP_POWER_RAMP; ASSUMP_NUMERIC_ACCELERATOR_MIX; ASSUMP_INFERENCE_SHARE_NOT_FACT_60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84453767596800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3.0825625172832e+16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719919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h200_share*h200_reference + b200_share*b200_reference + gb200_share*gb200_reference + purpose_built_share*purpose_built_reference</t>
        </is>
      </c>
      <c r="I3326" s="3" t="inlineStr">
        <is>
          <t>Selected InferenceX proxy model: gptoss120b. Each GPU-generation reference is public benchmark input or documented B200 placeholder, not measured company production throughput.</t>
        </is>
      </c>
      <c r="J3326" s="3" t="inlineStr">
        <is>
          <t>SRC_SEMIANALYSIS_INFERENCEX; ASSUMP_NUMERIC_ACCELERATOR_MIX</t>
        </is>
      </c>
      <c r="K3326" s="3" t="inlineStr">
        <is>
          <t>ASSUMP_TPU_EFFICIENCY; ASSUMP_POWER_RAMP; ASSUMP_NUMERIC_ACCELERATOR_MIX; ASSUMP_INFERENCE_SHARE_NOT_FACT_60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Closed-model, reasoning, long-context and SLO mismatch is made explicit rather than hiding it in the benchmark.</t>
        </is>
      </c>
      <c r="J3327" s="3" t="inlineStr">
        <is>
          <t>SRC_SEMIANALYSIS_INFERENCEX; ASSUMP_NUMERIC_ACCELERATOR_MIX</t>
        </is>
      </c>
      <c r="K3327" s="3" t="inlineStr">
        <is>
          <t>ASSUMP_TPU_EFFICIENCY; ASSUMP_POWER_RAMP; ASSUMP_NUMERIC_ACCELERATOR_MIX; ASSUMP_INFERENCE_SHARE_NOT_FACT_60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431951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it is intentionally below the raw public reference unless the commercial workload is closely matched.</t>
        </is>
      </c>
      <c r="J3328" s="3" t="inlineStr">
        <is>
          <t>SRC_SEMIANALYSIS_INFERENCEX; ASSUMP_NUMERIC_ACCELERATOR_MIX</t>
        </is>
      </c>
      <c r="K3328" s="3" t="inlineStr">
        <is>
          <t>ASSUMP_TPU_EFFICIENCY; ASSUMP_POWER_RAMP; ASSUMP_NUMERIC_ACCELERATOR_MIX; ASSUMP_INFERENCE_SHARE_NOT_FACT_60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434075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431951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GPT-OSS 120B B200 output-token benchmark proxy. TPU/Ironwood presence is shown, but no unmatched efficiency premium is applied. Common filter: model-level main_framework/main_precision only, B200, single_turn, ISL=1024, OSL=1024, output_tok_s_mw p50. Commercial workload fit factor: Gemini serving is closed and TPU-heavy with product and multimodal routing; no matched production TPS/MW is adopted.</t>
        </is>
      </c>
      <c r="J3334" s="3" t="inlineStr">
        <is>
          <t>SRC_GOOGLE_GEMINI_TOKENS; SRC_GOOGLE_IRONWOOD; SRC_GOOGLE_TPU_V6E; SRC_SEMIANALYSIS_INFERENCEX; ASSUMP_NUMERIC_ACCELERATOR_MIX</t>
        </is>
      </c>
      <c r="K3334" s="3" t="inlineStr">
        <is>
          <t>ASSUMP_TPU_EFFICIENCY; ASSUMP_POWER_RAMP; ASSUMP_NUMERIC_ACCELERATOR_MIX; ASSUMP_INFERENCE_SHARE_NOT_FACT_60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103564571760000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3.78010686924e+16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201780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h200_share*h200_reference + b200_share*b200_reference + gb200_share*gb200_reference + purpose_built_share*purpose_built_reference</t>
        </is>
      </c>
      <c r="I3349" s="3" t="inlineStr">
        <is>
          <t>Selected InferenceX proxy model: llama70b. Each GPU-generation reference is public benchmark input or documented B200 placeholder, not measured company production throughput.</t>
        </is>
      </c>
      <c r="J3349" s="3" t="inlineStr">
        <is>
          <t>SRC_SEMIANALYSIS_INFERENCEX; ASSUMP_NUMERIC_ACCELERATOR_MIX</t>
        </is>
      </c>
      <c r="K3349" s="3" t="inlineStr">
        <is>
          <t>ASSUMP_CONSUMER_AI_UTILIZATION; ASSUMP_POWER_RAMP; ASSUMP_NUMERIC_ACCELERATOR_MIX; ASSUMP_INFERENCE_SHARE_NOT_FACT_60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Closed-model, reasoning, long-context and SLO mismatch is made explicit rather than hiding it in the benchmark.</t>
        </is>
      </c>
      <c r="J3350" s="3" t="inlineStr">
        <is>
          <t>SRC_SEMIANALYSIS_INFERENCEX; ASSUMP_NUMERIC_ACCELERATOR_MIX</t>
        </is>
      </c>
      <c r="K3350" s="3" t="inlineStr">
        <is>
          <t>ASSUMP_CONSUMER_AI_UTILIZATION; ASSUMP_POWER_RAMP; ASSUMP_NUMERIC_ACCELERATOR_MIX; ASSUMP_INFERENCE_SHARE_NOT_FACT_60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181602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it is intentionally below the raw public reference unless the commercial workload is closely matched.</t>
        </is>
      </c>
      <c r="J3351" s="3" t="inlineStr">
        <is>
          <t>SRC_SEMIANALYSIS_INFERENCEX; ASSUMP_NUMERIC_ACCELERATOR_MIX</t>
        </is>
      </c>
      <c r="K3351" s="3" t="inlineStr">
        <is>
          <t>ASSUMP_CONSUMER_AI_UTILIZATION; ASSUMP_POWER_RAMP; ASSUMP_NUMERIC_ACCELERATOR_MIX; ASSUMP_INFERENCE_SHARE_NOT_FACT_60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180771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181602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357" s="3" t="inlineStr">
        <is>
          <t>SRC_META_LLAMA; SRC_META_LLAMA4_NVIDIA; SRC_META_MTIA_GENAI_2026; SRC_SEMIANALYSIS_INFERENCEX; ASSUMP_NUMERIC_ACCELERATOR_MIX</t>
        </is>
      </c>
      <c r="K3357" s="3" t="inlineStr">
        <is>
          <t>ASSUMP_CONSUMER_AI_UTILIZATION; ASSUMP_POWER_RAMP; ASSUMP_NUMERIC_ACCELERATOR_MIX; ASSUMP_INFERENCE_SHARE_NOT_FACT_60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9602532633600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3504924411264000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201519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h200_share*h200_reference + b200_share*b200_reference + gb200_share*gb200_reference + purpose_built_share*purpose_built_reference</t>
        </is>
      </c>
      <c r="I3372" s="3" t="inlineStr">
        <is>
          <t>Selected InferenceX proxy model: llama70b. Each GPU-generation reference is public benchmark input or documented B200 placeholder, not measured company production throughput.</t>
        </is>
      </c>
      <c r="J3372" s="3" t="inlineStr">
        <is>
          <t>SRC_SEMIANALYSIS_INFERENCEX; ASSUMP_NUMERIC_ACCELERATOR_MIX</t>
        </is>
      </c>
      <c r="K3372" s="3" t="inlineStr">
        <is>
          <t>ASSUMP_CONSUMER_AI_UTILIZATION; ASSUMP_POWER_RAMP; ASSUMP_NUMERIC_ACCELERATOR_MIX; ASSUMP_INFERENCE_SHARE_NOT_FACT_60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Closed-model, reasoning, long-context and SLO mismatch is made explicit rather than hiding it in the benchmark.</t>
        </is>
      </c>
      <c r="J3373" s="3" t="inlineStr">
        <is>
          <t>SRC_SEMIANALYSIS_INFERENCEX; ASSUMP_NUMERIC_ACCELERATOR_MIX</t>
        </is>
      </c>
      <c r="K3373" s="3" t="inlineStr">
        <is>
          <t>ASSUMP_CONSUMER_AI_UTILIZATION; ASSUMP_POWER_RAMP; ASSUMP_NUMERIC_ACCELERATOR_MIX; ASSUMP_INFERENCE_SHARE_NOT_FACT_60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181367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it is intentionally below the raw public reference unless the commercial workload is closely matched.</t>
        </is>
      </c>
      <c r="J3374" s="3" t="inlineStr">
        <is>
          <t>SRC_SEMIANALYSIS_INFERENCEX; ASSUMP_NUMERIC_ACCELERATOR_MIX</t>
        </is>
      </c>
      <c r="K3374" s="3" t="inlineStr">
        <is>
          <t>ASSUMP_CONSUMER_AI_UTILIZATION; ASSUMP_POWER_RAMP; ASSUMP_NUMERIC_ACCELERATOR_MIX; ASSUMP_INFERENCE_SHARE_NOT_FACT_60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180771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181367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380" s="3" t="inlineStr">
        <is>
          <t>SRC_META_LLAMA; SRC_META_LLAMA4_NVIDIA; SRC_META_MTIA_GENAI_2026; SRC_SEMIANALYSIS_INFERENCEX; ASSUMP_NUMERIC_ACCELERATOR_MIX</t>
        </is>
      </c>
      <c r="K3380" s="3" t="inlineStr">
        <is>
          <t>ASSUMP_CONSUMER_AI_UTILIZATION; ASSUMP_POWER_RAMP; ASSUMP_NUMERIC_ACCELERATOR_MIX; ASSUMP_INFERENCE_SHARE_NOT_FACT_60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16563305001600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6045606325584000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201297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h200_share*h200_reference + b200_share*b200_reference + gb200_share*gb200_reference + purpose_built_share*purpose_built_reference</t>
        </is>
      </c>
      <c r="I3395" s="3" t="inlineStr">
        <is>
          <t>Selected InferenceX proxy model: llama70b. Each GPU-generation reference is public benchmark input or documented B200 placeholder, not measured company production throughput.</t>
        </is>
      </c>
      <c r="J3395" s="3" t="inlineStr">
        <is>
          <t>SRC_SEMIANALYSIS_INFERENCEX; ASSUMP_NUMERIC_ACCELERATOR_MIX</t>
        </is>
      </c>
      <c r="K3395" s="3" t="inlineStr">
        <is>
          <t>ASSUMP_CONSUMER_AI_UTILIZATION; ASSUMP_POWER_RAMP; ASSUMP_NUMERIC_ACCELERATOR_MIX; ASSUMP_INFERENCE_SHARE_NOT_FACT_60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Closed-model, reasoning, long-context and SLO mismatch is made explicit rather than hiding it in the benchmark.</t>
        </is>
      </c>
      <c r="J3396" s="3" t="inlineStr">
        <is>
          <t>SRC_SEMIANALYSIS_INFERENCEX; ASSUMP_NUMERIC_ACCELERATOR_MIX</t>
        </is>
      </c>
      <c r="K3396" s="3" t="inlineStr">
        <is>
          <t>ASSUMP_CONSUMER_AI_UTILIZATION; ASSUMP_POWER_RAMP; ASSUMP_NUMERIC_ACCELERATOR_MIX; ASSUMP_INFERENCE_SHARE_NOT_FACT_60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181167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it is intentionally below the raw public reference unless the commercial workload is closely matched.</t>
        </is>
      </c>
      <c r="J3397" s="3" t="inlineStr">
        <is>
          <t>SRC_SEMIANALYSIS_INFERENCEX; ASSUMP_NUMERIC_ACCELERATOR_MIX</t>
        </is>
      </c>
      <c r="K3397" s="3" t="inlineStr">
        <is>
          <t>ASSUMP_CONSUMER_AI_UTILIZATION; ASSUMP_POWER_RAMP; ASSUMP_NUMERIC_ACCELERATOR_MIX; ASSUMP_INFERENCE_SHARE_NOT_FACT_60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180771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181167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403" s="3" t="inlineStr">
        <is>
          <t>SRC_META_LLAMA; SRC_META_LLAMA4_NVIDIA; SRC_META_MTIA_GENAI_2026; SRC_SEMIANALYSIS_INFERENCEX; ASSUMP_NUMERIC_ACCELERATOR_MIX</t>
        </is>
      </c>
      <c r="K3403" s="3" t="inlineStr">
        <is>
          <t>ASSUMP_CONSUMER_AI_UTILIZATION; ASSUMP_POWER_RAMP; ASSUMP_NUMERIC_ACCELERATOR_MIX; ASSUMP_INFERENCE_SHARE_NOT_FACT_60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23854911091200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8707042548288000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201109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h200_share*h200_reference + b200_share*b200_reference + gb200_share*gb200_reference + purpose_built_share*purpose_built_reference</t>
        </is>
      </c>
      <c r="I3418" s="3" t="inlineStr">
        <is>
          <t>Selected InferenceX proxy model: llama70b. Each GPU-generation reference is public benchmark input or documented B200 placeholder, not measured company production throughput.</t>
        </is>
      </c>
      <c r="J3418" s="3" t="inlineStr">
        <is>
          <t>SRC_SEMIANALYSIS_INFERENCEX; ASSUMP_NUMERIC_ACCELERATOR_MIX</t>
        </is>
      </c>
      <c r="K3418" s="3" t="inlineStr">
        <is>
          <t>ASSUMP_CONSUMER_AI_UTILIZATION; ASSUMP_POWER_RAMP; ASSUMP_NUMERIC_ACCELERATOR_MIX; ASSUMP_INFERENCE_SHARE_NOT_FACT_60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Closed-model, reasoning, long-context and SLO mismatch is made explicit rather than hiding it in the benchmark.</t>
        </is>
      </c>
      <c r="J3419" s="3" t="inlineStr">
        <is>
          <t>SRC_SEMIANALYSIS_INFERENCEX; ASSUMP_NUMERIC_ACCELERATOR_MIX</t>
        </is>
      </c>
      <c r="K3419" s="3" t="inlineStr">
        <is>
          <t>ASSUMP_CONSUMER_AI_UTILIZATION; ASSUMP_POWER_RAMP; ASSUMP_NUMERIC_ACCELERATOR_MIX; ASSUMP_INFERENCE_SHARE_NOT_FACT_60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180998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it is intentionally below the raw public reference unless the commercial workload is closely matched.</t>
        </is>
      </c>
      <c r="J3420" s="3" t="inlineStr">
        <is>
          <t>SRC_SEMIANALYSIS_INFERENCEX; ASSUMP_NUMERIC_ACCELERATOR_MIX</t>
        </is>
      </c>
      <c r="K3420" s="3" t="inlineStr">
        <is>
          <t>ASSUMP_CONSUMER_AI_UTILIZATION; ASSUMP_POWER_RAMP; ASSUMP_NUMERIC_ACCELERATOR_MIX; ASSUMP_INFERENCE_SHARE_NOT_FACT_60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180771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180998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426" s="3" t="inlineStr">
        <is>
          <t>SRC_META_LLAMA; SRC_META_LLAMA4_NVIDIA; SRC_META_MTIA_GENAI_2026; SRC_SEMIANALYSIS_INFERENCEX; ASSUMP_NUMERIC_ACCELERATOR_MIX</t>
        </is>
      </c>
      <c r="K3426" s="3" t="inlineStr">
        <is>
          <t>ASSUMP_CONSUMER_AI_UTILIZATION; ASSUMP_POWER_RAMP; ASSUMP_NUMERIC_ACCELERATOR_MIX; ASSUMP_INFERENCE_SHARE_NOT_FACT_60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31307730854400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1.1427321761856e+16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200960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h200_share*h200_reference + b200_share*b200_reference + gb200_share*gb200_reference + purpose_built_share*purpose_built_reference</t>
        </is>
      </c>
      <c r="I3441" s="3" t="inlineStr">
        <is>
          <t>Selected InferenceX proxy model: llama70b. Each GPU-generation reference is public benchmark input or documented B200 placeholder, not measured company production throughput.</t>
        </is>
      </c>
      <c r="J3441" s="3" t="inlineStr">
        <is>
          <t>SRC_SEMIANALYSIS_INFERENCEX; ASSUMP_NUMERIC_ACCELERATOR_MIX</t>
        </is>
      </c>
      <c r="K3441" s="3" t="inlineStr">
        <is>
          <t>ASSUMP_CONSUMER_AI_UTILIZATION; ASSUMP_POWER_RAMP; ASSUMP_NUMERIC_ACCELERATOR_MIX; ASSUMP_INFERENCE_SHARE_NOT_FACT_60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Closed-model, reasoning, long-context and SLO mismatch is made explicit rather than hiding it in the benchmark.</t>
        </is>
      </c>
      <c r="J3442" s="3" t="inlineStr">
        <is>
          <t>SRC_SEMIANALYSIS_INFERENCEX; ASSUMP_NUMERIC_ACCELERATOR_MIX</t>
        </is>
      </c>
      <c r="K3442" s="3" t="inlineStr">
        <is>
          <t>ASSUMP_CONSUMER_AI_UTILIZATION; ASSUMP_POWER_RAMP; ASSUMP_NUMERIC_ACCELERATOR_MIX; ASSUMP_INFERENCE_SHARE_NOT_FACT_60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180864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it is intentionally below the raw public reference unless the commercial workload is closely matched.</t>
        </is>
      </c>
      <c r="J3443" s="3" t="inlineStr">
        <is>
          <t>SRC_SEMIANALYSIS_INFERENCEX; ASSUMP_NUMERIC_ACCELERATOR_MIX</t>
        </is>
      </c>
      <c r="K3443" s="3" t="inlineStr">
        <is>
          <t>ASSUMP_CONSUMER_AI_UTILIZATION; ASSUMP_POWER_RAMP; ASSUMP_NUMERIC_ACCELERATOR_MIX; ASSUMP_INFERENCE_SHARE_NOT_FACT_60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180771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180864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Common filter: model-level main_framework/main_precision only, B200, single_turn, ISL=1024, OSL=1024, output_tok_s_mw p50. Commercial workload fit factor: Llama benchmark family is comparatively close to Meta AI serving, while fleet routing and MTIA performance remain unmeasured.</t>
        </is>
      </c>
      <c r="J3449" s="3" t="inlineStr">
        <is>
          <t>SRC_META_LLAMA; SRC_META_LLAMA4_NVIDIA; SRC_META_MTIA_GENAI_2026; SRC_SEMIANALYSIS_INFERENCEX; ASSUMP_NUMERIC_ACCELERATOR_MIX</t>
        </is>
      </c>
      <c r="K3449" s="3" t="inlineStr">
        <is>
          <t>ASSUMP_CONSUMER_AI_UTILIZATION; ASSUMP_POWER_RAMP; ASSUMP_NUMERIC_ACCELERATOR_MIX; ASSUMP_INFERENCE_SHARE_NOT_FACT_60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38800970956800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1.4162354399232e+16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528791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h200_share*h200_reference + b200_share*b200_reference + gb200_share*gb200_reference + purpose_built_share*purpose_built_reference</t>
        </is>
      </c>
      <c r="I3464" s="3" t="inlineStr">
        <is>
          <t>Selected InferenceX proxy model: gptoss120b. Each GPU-generation reference is public benchmark input or documented B200 placeholder, not measured company production throughput.</t>
        </is>
      </c>
      <c r="J3464" s="3" t="inlineStr">
        <is>
          <t>SRC_SEMIANALYSIS_INFERENCEX; ASSUMP_NUMERIC_ACCELERATOR_MIX</t>
        </is>
      </c>
      <c r="K3464" s="3" t="inlineStr">
        <is>
          <t>ASSUMP_CLUSTER_RAMP; ASSUMP_CLOSED_MODEL_BAND; ASSUMP_NUMERIC_ACCELERATOR_MIX; ASSUMP_INFERENCE_SHARE_NOT_FACT_60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Closed-model, reasoning, long-context and SLO mismatch is made explicit rather than hiding it in the benchmark.</t>
        </is>
      </c>
      <c r="J3465" s="3" t="inlineStr">
        <is>
          <t>SRC_SEMIANALYSIS_INFERENCEX; ASSUMP_NUMERIC_ACCELERATOR_MIX</t>
        </is>
      </c>
      <c r="K3465" s="3" t="inlineStr">
        <is>
          <t>ASSUMP_CLUSTER_RAMP; ASSUMP_CLOSED_MODEL_BAND; ASSUMP_NUMERIC_ACCELERATOR_MIX; ASSUMP_INFERENCE_SHARE_NOT_FACT_60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290835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it is intentionally below the raw public reference unless the commercial workload is closely matched.</t>
        </is>
      </c>
      <c r="J3466" s="3" t="inlineStr">
        <is>
          <t>SRC_SEMIANALYSIS_INFERENCEX; ASSUMP_NUMERIC_ACCELERATOR_MIX</t>
        </is>
      </c>
      <c r="K3466" s="3" t="inlineStr">
        <is>
          <t>ASSUMP_CLUSTER_RAMP; ASSUMP_CLOSED_MODEL_BAND; ASSUMP_NUMERIC_ACCELERATOR_MIX; ASSUMP_INFERENCE_SHARE_NOT_FACT_60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397902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290835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472" s="3" t="inlineStr">
        <is>
          <t>SRC_XAI_MODELS; SRC_XAI_NVIDIA_COLOSSUS; SRC_SEMIANALYSIS_INFERENCEX; ASSUMP_NUMERIC_ACCELERATOR_MIX</t>
        </is>
      </c>
      <c r="K3472" s="3" t="inlineStr">
        <is>
          <t>ASSUMP_CLUSTER_RAMP; ASSUMP_CLOSED_MODEL_BAND; ASSUMP_NUMERIC_ACCELERATOR_MIX; ASSUMP_INFERENCE_SHARE_NOT_FACT_60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2537942544000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926349028560000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568432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h200_share*h200_reference + b200_share*b200_reference + gb200_share*gb200_reference + purpose_built_share*purpose_built_reference</t>
        </is>
      </c>
      <c r="I3487" s="3" t="inlineStr">
        <is>
          <t>Selected InferenceX proxy model: gptoss120b. Each GPU-generation reference is public benchmark input or documented B200 placeholder, not measured company production throughput.</t>
        </is>
      </c>
      <c r="J3487" s="3" t="inlineStr">
        <is>
          <t>SRC_SEMIANALYSIS_INFERENCEX; ASSUMP_NUMERIC_ACCELERATOR_MIX</t>
        </is>
      </c>
      <c r="K3487" s="3" t="inlineStr">
        <is>
          <t>ASSUMP_CLUSTER_RAMP; ASSUMP_CLOSED_MODEL_BAND; ASSUMP_NUMERIC_ACCELERATOR_MIX; ASSUMP_INFERENCE_SHARE_NOT_FACT_60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Closed-model, reasoning, long-context and SLO mismatch is made explicit rather than hiding it in the benchmark.</t>
        </is>
      </c>
      <c r="J3488" s="3" t="inlineStr">
        <is>
          <t>SRC_SEMIANALYSIS_INFERENCEX; ASSUMP_NUMERIC_ACCELERATOR_MIX</t>
        </is>
      </c>
      <c r="K3488" s="3" t="inlineStr">
        <is>
          <t>ASSUMP_CLUSTER_RAMP; ASSUMP_CLOSED_MODEL_BAND; ASSUMP_NUMERIC_ACCELERATOR_MIX; ASSUMP_INFERENCE_SHARE_NOT_FACT_60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312638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it is intentionally below the raw public reference unless the commercial workload is closely matched.</t>
        </is>
      </c>
      <c r="J3489" s="3" t="inlineStr">
        <is>
          <t>SRC_SEMIANALYSIS_INFERENCEX; ASSUMP_NUMERIC_ACCELERATOR_MIX</t>
        </is>
      </c>
      <c r="K3489" s="3" t="inlineStr">
        <is>
          <t>ASSUMP_CLUSTER_RAMP; ASSUMP_CLOSED_MODEL_BAND; ASSUMP_NUMERIC_ACCELERATOR_MIX; ASSUMP_INFERENCE_SHARE_NOT_FACT_60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397902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312638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495" s="3" t="inlineStr">
        <is>
          <t>SRC_XAI_MODELS; SRC_XAI_NVIDIA_COLOSSUS; SRC_SEMIANALYSIS_INFERENCEX; ASSUMP_NUMERIC_ACCELERATOR_MIX</t>
        </is>
      </c>
      <c r="K3495" s="3" t="inlineStr">
        <is>
          <t>ASSUMP_CLUSTER_RAMP; ASSUMP_CLOSED_MODEL_BAND; ASSUMP_NUMERIC_ACCELERATOR_MIX; ASSUMP_INFERENCE_SHARE_NOT_FACT_60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7536326572800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2750759199072000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608428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h200_share*h200_reference + b200_share*b200_reference + gb200_share*gb200_reference + purpose_built_share*purpose_built_reference</t>
        </is>
      </c>
      <c r="I3510" s="3" t="inlineStr">
        <is>
          <t>Selected InferenceX proxy model: gptoss120b. Each GPU-generation reference is public benchmark input or documented B200 placeholder, not measured company production throughput.</t>
        </is>
      </c>
      <c r="J3510" s="3" t="inlineStr">
        <is>
          <t>SRC_SEMIANALYSIS_INFERENCEX; ASSUMP_NUMERIC_ACCELERATOR_MIX</t>
        </is>
      </c>
      <c r="K3510" s="3" t="inlineStr">
        <is>
          <t>ASSUMP_CLUSTER_RAMP; ASSUMP_CLOSED_MODEL_BAND; ASSUMP_NUMERIC_ACCELERATOR_MIX; ASSUMP_INFERENCE_SHARE_NOT_FACT_60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Closed-model, reasoning, long-context and SLO mismatch is made explicit rather than hiding it in the benchmark.</t>
        </is>
      </c>
      <c r="J3511" s="3" t="inlineStr">
        <is>
          <t>SRC_SEMIANALYSIS_INFERENCEX; ASSUMP_NUMERIC_ACCELERATOR_MIX</t>
        </is>
      </c>
      <c r="K3511" s="3" t="inlineStr">
        <is>
          <t>ASSUMP_CLUSTER_RAMP; ASSUMP_CLOSED_MODEL_BAND; ASSUMP_NUMERIC_ACCELERATOR_MIX; ASSUMP_INFERENCE_SHARE_NOT_FACT_60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334635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it is intentionally below the raw public reference unless the commercial workload is closely matched.</t>
        </is>
      </c>
      <c r="J3512" s="3" t="inlineStr">
        <is>
          <t>SRC_SEMIANALYSIS_INFERENCEX; ASSUMP_NUMERIC_ACCELERATOR_MIX</t>
        </is>
      </c>
      <c r="K3512" s="3" t="inlineStr">
        <is>
          <t>ASSUMP_CLUSTER_RAMP; ASSUMP_CLOSED_MODEL_BAND; ASSUMP_NUMERIC_ACCELERATOR_MIX; ASSUMP_INFERENCE_SHARE_NOT_FACT_60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397902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334635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518" s="3" t="inlineStr">
        <is>
          <t>SRC_XAI_MODELS; SRC_XAI_NVIDIA_COLOSSUS; SRC_SEMIANALYSIS_INFERENCEX; ASSUMP_NUMERIC_ACCELERATOR_MIX</t>
        </is>
      </c>
      <c r="K3518" s="3" t="inlineStr">
        <is>
          <t>ASSUMP_CLUSTER_RAMP; ASSUMP_CLOSED_MODEL_BAND; ASSUMP_NUMERIC_ACCELERATOR_MIX; ASSUMP_INFERENCE_SHARE_NOT_FACT_60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13906895184000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5076016742160000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648069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h200_share*h200_reference + b200_share*b200_reference + gb200_share*gb200_reference + purpose_built_share*purpose_built_reference</t>
        </is>
      </c>
      <c r="I3533" s="3" t="inlineStr">
        <is>
          <t>Selected InferenceX proxy model: gptoss120b. Each GPU-generation reference is public benchmark input or documented B200 placeholder, not measured company production throughput.</t>
        </is>
      </c>
      <c r="J3533" s="3" t="inlineStr">
        <is>
          <t>SRC_SEMIANALYSIS_INFERENCEX; ASSUMP_NUMERIC_ACCELERATOR_MIX</t>
        </is>
      </c>
      <c r="K3533" s="3" t="inlineStr">
        <is>
          <t>ASSUMP_CLUSTER_RAMP; ASSUMP_CLOSED_MODEL_BAND; ASSUMP_NUMERIC_ACCELERATOR_MIX; ASSUMP_INFERENCE_SHARE_NOT_FACT_60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Closed-model, reasoning, long-context and SLO mismatch is made explicit rather than hiding it in the benchmark.</t>
        </is>
      </c>
      <c r="J3534" s="3" t="inlineStr">
        <is>
          <t>SRC_SEMIANALYSIS_INFERENCEX; ASSUMP_NUMERIC_ACCELERATOR_MIX</t>
        </is>
      </c>
      <c r="K3534" s="3" t="inlineStr">
        <is>
          <t>ASSUMP_CLUSTER_RAMP; ASSUMP_CLOSED_MODEL_BAND; ASSUMP_NUMERIC_ACCELERATOR_MIX; ASSUMP_INFERENCE_SHARE_NOT_FACT_60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356438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it is intentionally below the raw public reference unless the commercial workload is closely matched.</t>
        </is>
      </c>
      <c r="J3535" s="3" t="inlineStr">
        <is>
          <t>SRC_SEMIANALYSIS_INFERENCEX; ASSUMP_NUMERIC_ACCELERATOR_MIX</t>
        </is>
      </c>
      <c r="K3535" s="3" t="inlineStr">
        <is>
          <t>ASSUMP_CLUSTER_RAMP; ASSUMP_CLOSED_MODEL_BAND; ASSUMP_NUMERIC_ACCELERATOR_MIX; ASSUMP_INFERENCE_SHARE_NOT_FACT_60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397902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356438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541" s="3" t="inlineStr">
        <is>
          <t>SRC_XAI_MODELS; SRC_XAI_NVIDIA_COLOSSUS; SRC_SEMIANALYSIS_INFERENCEX; ASSUMP_NUMERIC_ACCELERATOR_MIX</t>
        </is>
      </c>
      <c r="K3541" s="3" t="inlineStr">
        <is>
          <t>ASSUMP_CLUSTER_RAMP; ASSUMP_CLOSED_MODEL_BAND; ASSUMP_NUMERIC_ACCELERATOR_MIX; ASSUMP_INFERENCE_SHARE_NOT_FACT_60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21526573996800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7857199508832000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688064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h200_share*h200_reference + b200_share*b200_reference + gb200_share*gb200_reference + purpose_built_share*purpose_built_reference</t>
        </is>
      </c>
      <c r="I3556" s="3" t="inlineStr">
        <is>
          <t>Selected InferenceX proxy model: gptoss120b. Each GPU-generation reference is public benchmark input or documented B200 placeholder, not measured company production throughput.</t>
        </is>
      </c>
      <c r="J3556" s="3" t="inlineStr">
        <is>
          <t>SRC_SEMIANALYSIS_INFERENCEX; ASSUMP_NUMERIC_ACCELERATOR_MIX</t>
        </is>
      </c>
      <c r="K3556" s="3" t="inlineStr">
        <is>
          <t>ASSUMP_CLUSTER_RAMP; ASSUMP_CLOSED_MODEL_BAND; ASSUMP_NUMERIC_ACCELERATOR_MIX; ASSUMP_INFERENCE_SHARE_NOT_FACT_60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Closed-model, reasoning, long-context and SLO mismatch is made explicit rather than hiding it in the benchmark.</t>
        </is>
      </c>
      <c r="J3557" s="3" t="inlineStr">
        <is>
          <t>SRC_SEMIANALYSIS_INFERENCEX; ASSUMP_NUMERIC_ACCELERATOR_MIX</t>
        </is>
      </c>
      <c r="K3557" s="3" t="inlineStr">
        <is>
          <t>ASSUMP_CLUSTER_RAMP; ASSUMP_CLOSED_MODEL_BAND; ASSUMP_NUMERIC_ACCELERATOR_MIX; ASSUMP_INFERENCE_SHARE_NOT_FACT_60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378435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it is intentionally below the raw public reference unless the commercial workload is closely matched.</t>
        </is>
      </c>
      <c r="J3558" s="3" t="inlineStr">
        <is>
          <t>SRC_SEMIANALYSIS_INFERENCEX; ASSUMP_NUMERIC_ACCELERATOR_MIX</t>
        </is>
      </c>
      <c r="K3558" s="3" t="inlineStr">
        <is>
          <t>ASSUMP_CLUSTER_RAMP; ASSUMP_CLOSED_MODEL_BAND; ASSUMP_NUMERIC_ACCELERATOR_MIX; ASSUMP_INFERENCE_SHARE_NOT_FACT_60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397902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378435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Common filter: model-level main_framework/main_precision only, B200, single_turn, ISL=1024, OSL=1024, output_tok_s_mw p50. Commercial workload fit factor: Grok is closed and reasoning/product workload mix is not matched to the GPT-OSS benchmark row.</t>
        </is>
      </c>
      <c r="J3564" s="3" t="inlineStr">
        <is>
          <t>SRC_XAI_MODELS; SRC_XAI_NVIDIA_COLOSSUS; SRC_SEMIANALYSIS_INFERENCEX; ASSUMP_NUMERIC_ACCELERATOR_MIX</t>
        </is>
      </c>
      <c r="K3564" s="3" t="inlineStr">
        <is>
          <t>ASSUMP_CLUSTER_RAMP; ASSUMP_CLOSED_MODEL_BAND; ASSUMP_NUMERIC_ACCELERATOR_MIX; ASSUMP_INFERENCE_SHARE_NOT_FACT_60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30342615552000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1.107505467648e+16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528791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h200_share*h200_reference + b200_share*b200_reference + gb200_share*gb200_reference + purpose_built_share*purpose_built_reference</t>
        </is>
      </c>
      <c r="I3579" s="3" t="inlineStr">
        <is>
          <t>Selected InferenceX proxy model: gptoss120b. Each GPU-generation reference is public benchmark input or documented B200 placeholder, not measured company production throughput.</t>
        </is>
      </c>
      <c r="J3579" s="3" t="inlineStr">
        <is>
          <t>SRC_SEMIANALYSIS_INFERENCEX; ASSUMP_NUMERIC_ACCELERATOR_MIX</t>
        </is>
      </c>
      <c r="K3579" s="3" t="inlineStr">
        <is>
          <t>ASSUMP_STARGATE_RAMP; ASSUMP_MS_OPENAI_ATTRIBUTION; ASSUMP_NUMERIC_ACCELERATOR_MIX; ASSUMP_INFERENCE_SHARE_NOT_FACT_60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Closed-model, reasoning, long-context and SLO mismatch is made explicit rather than hiding it in the benchmark.</t>
        </is>
      </c>
      <c r="J3580" s="3" t="inlineStr">
        <is>
          <t>SRC_SEMIANALYSIS_INFERENCEX; ASSUMP_NUMERIC_ACCELERATOR_MIX</t>
        </is>
      </c>
      <c r="K3580" s="3" t="inlineStr">
        <is>
          <t>ASSUMP_STARGATE_RAMP; ASSUMP_MS_OPENAI_ATTRIBUTION; ASSUMP_NUMERIC_ACCELERATOR_MIX; ASSUMP_INFERENCE_SHARE_NOT_FACT_60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264396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it is intentionally below the raw public reference unless the commercial workload is closely matched.</t>
        </is>
      </c>
      <c r="J3581" s="3" t="inlineStr">
        <is>
          <t>SRC_SEMIANALYSIS_INFERENCEX; ASSUMP_NUMERIC_ACCELERATOR_MIX</t>
        </is>
      </c>
      <c r="K3581" s="3" t="inlineStr">
        <is>
          <t>ASSUMP_STARGATE_RAMP; ASSUMP_MS_OPENAI_ATTRIBUTION; ASSUMP_NUMERIC_ACCELERATOR_MIX; ASSUMP_INFERENCE_SHARE_NOT_FACT_60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361729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264396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3587" s="3" t="inlineStr">
        <is>
          <t>SRC_OPENAI_GPT41_DOCS; SRC_OPENAI_STARGATE_ORACLE; SRC_OPENAI_STARGATE_PROGRESS; SRC_SEMIANALYSIS_INFERENCEX; ASSUMP_NUMERIC_ACCELERATOR_MIX</t>
        </is>
      </c>
      <c r="K3587" s="3" t="inlineStr">
        <is>
          <t>ASSUMP_STARGATE_RAMP; ASSUMP_MS_OPENAI_ATTRIBUTION; ASSUMP_NUMERIC_ACCELERATOR_MIX; ASSUMP_INFERENCE_SHARE_NOT_FACT_60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12381347404800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4519191802752000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568432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h200_share*h200_reference + b200_share*b200_reference + gb200_share*gb200_reference + purpose_built_share*purpose_built_reference</t>
        </is>
      </c>
      <c r="I3602" s="3" t="inlineStr">
        <is>
          <t>Selected InferenceX proxy model: gptoss120b. Each GPU-generation reference is public benchmark input or documented B200 placeholder, not measured company production throughput.</t>
        </is>
      </c>
      <c r="J3602" s="3" t="inlineStr">
        <is>
          <t>SRC_SEMIANALYSIS_INFERENCEX; ASSUMP_NUMERIC_ACCELERATOR_MIX</t>
        </is>
      </c>
      <c r="K3602" s="3" t="inlineStr">
        <is>
          <t>ASSUMP_STARGATE_RAMP; ASSUMP_MS_OPENAI_ATTRIBUTION; ASSUMP_NUMERIC_ACCELERATOR_MIX; ASSUMP_INFERENCE_SHARE_NOT_FACT_60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Closed-model, reasoning, long-context and SLO mismatch is made explicit rather than hiding it in the benchmark.</t>
        </is>
      </c>
      <c r="J3603" s="3" t="inlineStr">
        <is>
          <t>SRC_SEMIANALYSIS_INFERENCEX; ASSUMP_NUMERIC_ACCELERATOR_MIX</t>
        </is>
      </c>
      <c r="K3603" s="3" t="inlineStr">
        <is>
          <t>ASSUMP_STARGATE_RAMP; ASSUMP_MS_OPENAI_ATTRIBUTION; ASSUMP_NUMERIC_ACCELERATOR_MIX; ASSUMP_INFERENCE_SHARE_NOT_FACT_60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284216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it is intentionally below the raw public reference unless the commercial workload is closely matched.</t>
        </is>
      </c>
      <c r="J3604" s="3" t="inlineStr">
        <is>
          <t>SRC_SEMIANALYSIS_INFERENCEX; ASSUMP_NUMERIC_ACCELERATOR_MIX</t>
        </is>
      </c>
      <c r="K3604" s="3" t="inlineStr">
        <is>
          <t>ASSUMP_STARGATE_RAMP; ASSUMP_MS_OPENAI_ATTRIBUTION; ASSUMP_NUMERIC_ACCELERATOR_MIX; ASSUMP_INFERENCE_SHARE_NOT_FACT_60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361729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284216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3610" s="3" t="inlineStr">
        <is>
          <t>SRC_OPENAI_GPT41_DOCS; SRC_OPENAI_STARGATE_ORACLE; SRC_OPENAI_STARGATE_PROGRESS; SRC_SEMIANALYSIS_INFERENCEX; ASSUMP_NUMERIC_ACCELERATOR_MIX</t>
        </is>
      </c>
      <c r="K3610" s="3" t="inlineStr">
        <is>
          <t>ASSUMP_STARGATE_RAMP; ASSUMP_MS_OPENAI_ATTRIBUTION; ASSUMP_NUMERIC_ACCELERATOR_MIX; ASSUMP_INFERENCE_SHARE_NOT_FACT_60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31456572134400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1.1481648829056e+16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608428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h200_share*h200_reference + b200_share*b200_reference + gb200_share*gb200_reference + purpose_built_share*purpose_built_reference</t>
        </is>
      </c>
      <c r="I3625" s="3" t="inlineStr">
        <is>
          <t>Selected InferenceX proxy model: gptoss120b. Each GPU-generation reference is public benchmark input or documented B200 placeholder, not measured company production throughput.</t>
        </is>
      </c>
      <c r="J3625" s="3" t="inlineStr">
        <is>
          <t>SRC_SEMIANALYSIS_INFERENCEX; ASSUMP_NUMERIC_ACCELERATOR_MIX</t>
        </is>
      </c>
      <c r="K3625" s="3" t="inlineStr">
        <is>
          <t>ASSUMP_STARGATE_RAMP; ASSUMP_MS_OPENAI_ATTRIBUTION; ASSUMP_NUMERIC_ACCELERATOR_MIX; ASSUMP_INFERENCE_SHARE_NOT_FACT_60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Closed-model, reasoning, long-context and SLO mismatch is made explicit rather than hiding it in the benchmark.</t>
        </is>
      </c>
      <c r="J3626" s="3" t="inlineStr">
        <is>
          <t>SRC_SEMIANALYSIS_INFERENCEX; ASSUMP_NUMERIC_ACCELERATOR_MIX</t>
        </is>
      </c>
      <c r="K3626" s="3" t="inlineStr">
        <is>
          <t>ASSUMP_STARGATE_RAMP; ASSUMP_MS_OPENAI_ATTRIBUTION; ASSUMP_NUMERIC_ACCELERATOR_MIX; ASSUMP_INFERENCE_SHARE_NOT_FACT_60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304214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it is intentionally below the raw public reference unless the commercial workload is closely matched.</t>
        </is>
      </c>
      <c r="J3627" s="3" t="inlineStr">
        <is>
          <t>SRC_SEMIANALYSIS_INFERENCEX; ASSUMP_NUMERIC_ACCELERATOR_MIX</t>
        </is>
      </c>
      <c r="K3627" s="3" t="inlineStr">
        <is>
          <t>ASSUMP_STARGATE_RAMP; ASSUMP_MS_OPENAI_ATTRIBUTION; ASSUMP_NUMERIC_ACCELERATOR_MIX; ASSUMP_INFERENCE_SHARE_NOT_FACT_60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361729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304214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3633" s="3" t="inlineStr">
        <is>
          <t>SRC_OPENAI_GPT41_DOCS; SRC_OPENAI_STARGATE_ORACLE; SRC_OPENAI_STARGATE_PROGRESS; SRC_SEMIANALYSIS_INFERENCEX; ASSUMP_NUMERIC_ACCELERATOR_MIX</t>
        </is>
      </c>
      <c r="K3633" s="3" t="inlineStr">
        <is>
          <t>ASSUMP_STARGATE_RAMP; ASSUMP_MS_OPENAI_ATTRIBUTION; ASSUMP_NUMERIC_ACCELERATOR_MIX; ASSUMP_INFERENCE_SHARE_NOT_FACT_60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54197792755200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1.9782194355648e+16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648069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h200_share*h200_reference + b200_share*b200_reference + gb200_share*gb200_reference + purpose_built_share*purpose_built_reference</t>
        </is>
      </c>
      <c r="I3648" s="3" t="inlineStr">
        <is>
          <t>Selected InferenceX proxy model: gptoss120b. Each GPU-generation reference is public benchmark input or documented B200 placeholder, not measured company production throughput.</t>
        </is>
      </c>
      <c r="J3648" s="3" t="inlineStr">
        <is>
          <t>SRC_SEMIANALYSIS_INFERENCEX; ASSUMP_NUMERIC_ACCELERATOR_MIX</t>
        </is>
      </c>
      <c r="K3648" s="3" t="inlineStr">
        <is>
          <t>ASSUMP_STARGATE_RAMP; ASSUMP_MS_OPENAI_ATTRIBUTION; ASSUMP_NUMERIC_ACCELERATOR_MIX; ASSUMP_INFERENCE_SHARE_NOT_FACT_60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Closed-model, reasoning, long-context and SLO mismatch is made explicit rather than hiding it in the benchmark.</t>
        </is>
      </c>
      <c r="J3649" s="3" t="inlineStr">
        <is>
          <t>SRC_SEMIANALYSIS_INFERENCEX; ASSUMP_NUMERIC_ACCELERATOR_MIX</t>
        </is>
      </c>
      <c r="K3649" s="3" t="inlineStr">
        <is>
          <t>ASSUMP_STARGATE_RAMP; ASSUMP_MS_OPENAI_ATTRIBUTION; ASSUMP_NUMERIC_ACCELERATOR_MIX; ASSUMP_INFERENCE_SHARE_NOT_FACT_60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324034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it is intentionally below the raw public reference unless the commercial workload is closely matched.</t>
        </is>
      </c>
      <c r="J3650" s="3" t="inlineStr">
        <is>
          <t>SRC_SEMIANALYSIS_INFERENCEX; ASSUMP_NUMERIC_ACCELERATOR_MIX</t>
        </is>
      </c>
      <c r="K3650" s="3" t="inlineStr">
        <is>
          <t>ASSUMP_STARGATE_RAMP; ASSUMP_MS_OPENAI_ATTRIBUTION; ASSUMP_NUMERIC_ACCELERATOR_MIX; ASSUMP_INFERENCE_SHARE_NOT_FACT_60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361729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324034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3656" s="3" t="inlineStr">
        <is>
          <t>SRC_OPENAI_GPT41_DOCS; SRC_OPENAI_STARGATE_ORACLE; SRC_OPENAI_STARGATE_PROGRESS; SRC_SEMIANALYSIS_INFERENCEX; ASSUMP_NUMERIC_ACCELERATOR_MIX</t>
        </is>
      </c>
      <c r="K3656" s="3" t="inlineStr">
        <is>
          <t>ASSUMP_STARGATE_RAMP; ASSUMP_MS_OPENAI_ATTRIBUTION; ASSUMP_NUMERIC_ACCELERATOR_MIX; ASSUMP_INFERENCE_SHARE_NOT_FACT_60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80266073299200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2.9297116754208e+16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688064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h200_share*h200_reference + b200_share*b200_reference + gb200_share*gb200_reference + purpose_built_share*purpose_built_reference</t>
        </is>
      </c>
      <c r="I3671" s="3" t="inlineStr">
        <is>
          <t>Selected InferenceX proxy model: gptoss120b. Each GPU-generation reference is public benchmark input or documented B200 placeholder, not measured company production throughput.</t>
        </is>
      </c>
      <c r="J3671" s="3" t="inlineStr">
        <is>
          <t>SRC_SEMIANALYSIS_INFERENCEX; ASSUMP_NUMERIC_ACCELERATOR_MIX</t>
        </is>
      </c>
      <c r="K3671" s="3" t="inlineStr">
        <is>
          <t>ASSUMP_STARGATE_RAMP; ASSUMP_MS_OPENAI_ATTRIBUTION; ASSUMP_NUMERIC_ACCELERATOR_MIX; ASSUMP_INFERENCE_SHARE_NOT_FACT_60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Closed-model, reasoning, long-context and SLO mismatch is made explicit rather than hiding it in the benchmark.</t>
        </is>
      </c>
      <c r="J3672" s="3" t="inlineStr">
        <is>
          <t>SRC_SEMIANALYSIS_INFERENCEX; ASSUMP_NUMERIC_ACCELERATOR_MIX</t>
        </is>
      </c>
      <c r="K3672" s="3" t="inlineStr">
        <is>
          <t>ASSUMP_STARGATE_RAMP; ASSUMP_MS_OPENAI_ATTRIBUTION; ASSUMP_NUMERIC_ACCELERATOR_MIX; ASSUMP_INFERENCE_SHARE_NOT_FACT_60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344032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it is intentionally below the raw public reference unless the commercial workload is closely matched.</t>
        </is>
      </c>
      <c r="J3673" s="3" t="inlineStr">
        <is>
          <t>SRC_SEMIANALYSIS_INFERENCEX; ASSUMP_NUMERIC_ACCELERATOR_MIX</t>
        </is>
      </c>
      <c r="K3673" s="3" t="inlineStr">
        <is>
          <t>ASSUMP_STARGATE_RAMP; ASSUMP_MS_OPENAI_ATTRIBUTION; ASSUMP_NUMERIC_ACCELERATOR_MIX; ASSUMP_INFERENCE_SHARE_NOT_FACT_60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361729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344032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GPT-OSS 120B B200 output-token benchmark proxy; not direct ChatGPT/API telemetry. Common filter: model-level main_framework/main_precision only, B200, single_turn, ISL=1024, OSL=1024, output_tok_s_mw p50. Commercial workload fit factor: ChatGPT/API demand includes reasoning and latency-sensitive surfaces; GPT-OSS throughput is not GPT production telemetry.</t>
        </is>
      </c>
      <c r="J3679" s="3" t="inlineStr">
        <is>
          <t>SRC_OPENAI_GPT41_DOCS; SRC_OPENAI_STARGATE_ORACLE; SRC_OPENAI_STARGATE_PROGRESS; SRC_SEMIANALYSIS_INFERENCEX; ASSUMP_NUMERIC_ACCELERATOR_MIX</t>
        </is>
      </c>
      <c r="K3679" s="3" t="inlineStr">
        <is>
          <t>ASSUMP_STARGATE_RAMP; ASSUMP_MS_OPENAI_ATTRIBUTION; ASSUMP_NUMERIC_ACCELERATOR_MIX; ASSUMP_INFERENCE_SHARE_NOT_FACT_60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109385662464000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3.992576679936e+16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655148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h200_share*h200_reference + b200_share*b200_reference + gb200_share*gb200_reference + purpose_built_share*purpose_built_reference</t>
        </is>
      </c>
      <c r="I3694" s="3" t="inlineStr">
        <is>
          <t>Selected InferenceX proxy model: gptoss120b. Each GPU-generation reference is public benchmark input or documented B200 placeholder, not measured company production throughput.</t>
        </is>
      </c>
      <c r="J3694" s="3" t="inlineStr">
        <is>
          <t>SRC_SEMIANALYSIS_INFERENCEX; ASSUMP_NUMERIC_ACCELERATOR_MIX</t>
        </is>
      </c>
      <c r="K3694" s="3" t="inlineStr">
        <is>
          <t>ASSUMP_POWER_RAMP; ASSUMP_CLOSED_MODEL_BAND; ASSUMP_NUMERIC_ACCELERATOR_MIX; ASSUMP_INFERENCE_SHARE_NOT_FACT_60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3695" s="3" t="inlineStr">
        <is>
          <t>SRC_SEMIANALYSIS_INFERENCEX; ASSUMP_NUMERIC_ACCELERATOR_MIX</t>
        </is>
      </c>
      <c r="K3695" s="3" t="inlineStr">
        <is>
          <t>ASSUMP_POWER_RAMP; ASSUMP_CLOSED_MODEL_BAND; ASSUMP_NUMERIC_ACCELERATOR_MIX; ASSUMP_INFERENCE_SHARE_NOT_FACT_60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327574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it is intentionally below the raw public reference unless the commercial workload is closely matched.</t>
        </is>
      </c>
      <c r="J3696" s="3" t="inlineStr">
        <is>
          <t>SRC_SEMIANALYSIS_INFERENCEX; ASSUMP_NUMERIC_ACCELERATOR_MIX</t>
        </is>
      </c>
      <c r="K3696" s="3" t="inlineStr">
        <is>
          <t>ASSUMP_POWER_RAMP; ASSUMP_CLOSED_MODEL_BAND; ASSUMP_NUMERIC_ACCELERATOR_MIX; ASSUMP_INFERENCE_SHARE_NOT_FACT_60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361729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327574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3702" s="3" t="inlineStr">
        <is>
          <t>SRC_ANTHROPIC_CLAUDE_DOCS; SRC_ANTHROPIC_AMAZON_COMPUTE; SRC_AWS_RAINIER_ACTIVE; SRC_SEMIANALYSIS_INFERENCEX; ASSUMP_NUMERIC_ACCELERATOR_MIX</t>
        </is>
      </c>
      <c r="K3702" s="3" t="inlineStr">
        <is>
          <t>ASSUMP_POWER_RAMP; ASSUMP_CLOSED_MODEL_BAND; ASSUMP_NUMERIC_ACCELERATOR_MIX; ASSUMP_INFERENCE_SHARE_NOT_FACT_60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9792628185600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3574309287744000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677092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h200_share*h200_reference + b200_share*b200_reference + gb200_share*gb200_reference + purpose_built_share*purpose_built_reference</t>
        </is>
      </c>
      <c r="I3717" s="3" t="inlineStr">
        <is>
          <t>Selected InferenceX proxy model: gptoss120b. Each GPU-generation reference is public benchmark input or documented B200 placeholder, not measured company production throughput.</t>
        </is>
      </c>
      <c r="J3717" s="3" t="inlineStr">
        <is>
          <t>SRC_SEMIANALYSIS_INFERENCEX; ASSUMP_NUMERIC_ACCELERATOR_MIX</t>
        </is>
      </c>
      <c r="K3717" s="3" t="inlineStr">
        <is>
          <t>ASSUMP_POWER_RAMP; ASSUMP_CLOSED_MODEL_BAND; ASSUMP_NUMERIC_ACCELERATOR_MIX; ASSUMP_INFERENCE_SHARE_NOT_FACT_60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3718" s="3" t="inlineStr">
        <is>
          <t>SRC_SEMIANALYSIS_INFERENCEX; ASSUMP_NUMERIC_ACCELERATOR_MIX</t>
        </is>
      </c>
      <c r="K3718" s="3" t="inlineStr">
        <is>
          <t>ASSUMP_POWER_RAMP; ASSUMP_CLOSED_MODEL_BAND; ASSUMP_NUMERIC_ACCELERATOR_MIX; ASSUMP_INFERENCE_SHARE_NOT_FACT_60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338546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it is intentionally below the raw public reference unless the commercial workload is closely matched.</t>
        </is>
      </c>
      <c r="J3719" s="3" t="inlineStr">
        <is>
          <t>SRC_SEMIANALYSIS_INFERENCEX; ASSUMP_NUMERIC_ACCELERATOR_MIX</t>
        </is>
      </c>
      <c r="K3719" s="3" t="inlineStr">
        <is>
          <t>ASSUMP_POWER_RAMP; ASSUMP_CLOSED_MODEL_BAND; ASSUMP_NUMERIC_ACCELERATOR_MIX; ASSUMP_INFERENCE_SHARE_NOT_FACT_60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361729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338546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3725" s="3" t="inlineStr">
        <is>
          <t>SRC_ANTHROPIC_CLAUDE_DOCS; SRC_ANTHROPIC_AMAZON_COMPUTE; SRC_AWS_RAINIER_ACTIVE; SRC_SEMIANALYSIS_INFERENCEX; ASSUMP_NUMERIC_ACCELERATOR_MIX</t>
        </is>
      </c>
      <c r="K3725" s="3" t="inlineStr">
        <is>
          <t>ASSUMP_POWER_RAMP; ASSUMP_CLOSED_MODEL_BAND; ASSUMP_NUMERIC_ACCELERATOR_MIX; ASSUMP_INFERENCE_SHARE_NOT_FACT_60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22844542406400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8338257978336000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694789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h200_share*h200_reference + b200_share*b200_reference + gb200_share*gb200_reference + purpose_built_share*purpose_built_reference</t>
        </is>
      </c>
      <c r="I3740" s="3" t="inlineStr">
        <is>
          <t>Selected InferenceX proxy model: gptoss120b. Each GPU-generation reference is public benchmark input or documented B200 placeholder, not measured company production throughput.</t>
        </is>
      </c>
      <c r="J3740" s="3" t="inlineStr">
        <is>
          <t>SRC_SEMIANALYSIS_INFERENCEX; ASSUMP_NUMERIC_ACCELERATOR_MIX</t>
        </is>
      </c>
      <c r="K3740" s="3" t="inlineStr">
        <is>
          <t>ASSUMP_POWER_RAMP; ASSUMP_CLOSED_MODEL_BAND; ASSUMP_NUMERIC_ACCELERATOR_MIX; ASSUMP_INFERENCE_SHARE_NOT_FACT_60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3741" s="3" t="inlineStr">
        <is>
          <t>SRC_SEMIANALYSIS_INFERENCEX; ASSUMP_NUMERIC_ACCELERATOR_MIX</t>
        </is>
      </c>
      <c r="K3741" s="3" t="inlineStr">
        <is>
          <t>ASSUMP_POWER_RAMP; ASSUMP_CLOSED_MODEL_BAND; ASSUMP_NUMERIC_ACCELERATOR_MIX; ASSUMP_INFERENCE_SHARE_NOT_FACT_60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347394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it is intentionally below the raw public reference unless the commercial workload is closely matched.</t>
        </is>
      </c>
      <c r="J3742" s="3" t="inlineStr">
        <is>
          <t>SRC_SEMIANALYSIS_INFERENCEX; ASSUMP_NUMERIC_ACCELERATOR_MIX</t>
        </is>
      </c>
      <c r="K3742" s="3" t="inlineStr">
        <is>
          <t>ASSUMP_POWER_RAMP; ASSUMP_CLOSED_MODEL_BAND; ASSUMP_NUMERIC_ACCELERATOR_MIX; ASSUMP_INFERENCE_SHARE_NOT_FACT_60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361729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347394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3748" s="3" t="inlineStr">
        <is>
          <t>SRC_ANTHROPIC_CLAUDE_DOCS; SRC_ANTHROPIC_AMAZON_COMPUTE; SRC_AWS_RAINIER_ACTIVE; SRC_SEMIANALYSIS_INFERENCEX; ASSUMP_NUMERIC_ACCELERATOR_MIX</t>
        </is>
      </c>
      <c r="K3748" s="3" t="inlineStr">
        <is>
          <t>ASSUMP_POWER_RAMP; ASSUMP_CLOSED_MODEL_BAND; ASSUMP_NUMERIC_ACCELERATOR_MIX; ASSUMP_INFERENCE_SHARE_NOT_FACT_60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37548566841600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1.3705226897184e+16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708239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h200_share*h200_reference + b200_share*b200_reference + gb200_share*gb200_reference + purpose_built_share*purpose_built_reference</t>
        </is>
      </c>
      <c r="I3763" s="3" t="inlineStr">
        <is>
          <t>Selected InferenceX proxy model: gptoss120b. Each GPU-generation reference is public benchmark input or documented B200 placeholder, not measured company production throughput.</t>
        </is>
      </c>
      <c r="J3763" s="3" t="inlineStr">
        <is>
          <t>SRC_SEMIANALYSIS_INFERENCEX; ASSUMP_NUMERIC_ACCELERATOR_MIX</t>
        </is>
      </c>
      <c r="K3763" s="3" t="inlineStr">
        <is>
          <t>ASSUMP_POWER_RAMP; ASSUMP_CLOSED_MODEL_BAND; ASSUMP_NUMERIC_ACCELERATOR_MIX; ASSUMP_INFERENCE_SHARE_NOT_FACT_60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3764" s="3" t="inlineStr">
        <is>
          <t>SRC_SEMIANALYSIS_INFERENCEX; ASSUMP_NUMERIC_ACCELERATOR_MIX</t>
        </is>
      </c>
      <c r="K3764" s="3" t="inlineStr">
        <is>
          <t>ASSUMP_POWER_RAMP; ASSUMP_CLOSED_MODEL_BAND; ASSUMP_NUMERIC_ACCELERATOR_MIX; ASSUMP_INFERENCE_SHARE_NOT_FACT_60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354120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it is intentionally below the raw public reference unless the commercial workload is closely matched.</t>
        </is>
      </c>
      <c r="J3765" s="3" t="inlineStr">
        <is>
          <t>SRC_SEMIANALYSIS_INFERENCEX; ASSUMP_NUMERIC_ACCELERATOR_MIX</t>
        </is>
      </c>
      <c r="K3765" s="3" t="inlineStr">
        <is>
          <t>ASSUMP_POWER_RAMP; ASSUMP_CLOSED_MODEL_BAND; ASSUMP_NUMERIC_ACCELERATOR_MIX; ASSUMP_INFERENCE_SHARE_NOT_FACT_60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361729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354120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3771" s="3" t="inlineStr">
        <is>
          <t>SRC_ANTHROPIC_CLAUDE_DOCS; SRC_ANTHROPIC_AMAZON_COMPUTE; SRC_AWS_RAINIER_ACTIVE; SRC_SEMIANALYSIS_INFERENCEX; ASSUMP_NUMERIC_ACCELERATOR_MIX</t>
        </is>
      </c>
      <c r="K3771" s="3" t="inlineStr">
        <is>
          <t>ASSUMP_POWER_RAMP; ASSUMP_CLOSED_MODEL_BAND; ASSUMP_NUMERIC_ACCELERATOR_MIX; ASSUMP_INFERENCE_SHARE_NOT_FACT_60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53389964160000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1.94873369184e+16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718149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h200_share*h200_reference + b200_share*b200_reference + gb200_share*gb200_reference + purpose_built_share*purpose_built_reference</t>
        </is>
      </c>
      <c r="I3786" s="3" t="inlineStr">
        <is>
          <t>Selected InferenceX proxy model: gptoss120b. Each GPU-generation reference is public benchmark input or documented B200 placeholder, not measured company production throughput.</t>
        </is>
      </c>
      <c r="J3786" s="3" t="inlineStr">
        <is>
          <t>SRC_SEMIANALYSIS_INFERENCEX; ASSUMP_NUMERIC_ACCELERATOR_MIX</t>
        </is>
      </c>
      <c r="K3786" s="3" t="inlineStr">
        <is>
          <t>ASSUMP_POWER_RAMP; ASSUMP_CLOSED_MODEL_BAND; ASSUMP_NUMERIC_ACCELERATOR_MIX; ASSUMP_INFERENCE_SHARE_NOT_FACT_60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Closed-model, reasoning, long-context and SLO mismatch is made explicit rather than hiding it in the benchmark.</t>
        </is>
      </c>
      <c r="J3787" s="3" t="inlineStr">
        <is>
          <t>SRC_SEMIANALYSIS_INFERENCEX; ASSUMP_NUMERIC_ACCELERATOR_MIX</t>
        </is>
      </c>
      <c r="K3787" s="3" t="inlineStr">
        <is>
          <t>ASSUMP_POWER_RAMP; ASSUMP_CLOSED_MODEL_BAND; ASSUMP_NUMERIC_ACCELERATOR_MIX; ASSUMP_INFERENCE_SHARE_NOT_FACT_60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359074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it is intentionally below the raw public reference unless the commercial workload is closely matched.</t>
        </is>
      </c>
      <c r="J3788" s="3" t="inlineStr">
        <is>
          <t>SRC_SEMIANALYSIS_INFERENCEX; ASSUMP_NUMERIC_ACCELERATOR_MIX</t>
        </is>
      </c>
      <c r="K3788" s="3" t="inlineStr">
        <is>
          <t>ASSUMP_POWER_RAMP; ASSUMP_CLOSED_MODEL_BAND; ASSUMP_NUMERIC_ACCELERATOR_MIX; ASSUMP_INFERENCE_SHARE_NOT_FACT_60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361729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359074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GPT-OSS 120B B200 output-token benchmark proxy. Trainium presence is shown, but no unmatched efficiency premium is applied. Common filter: model-level main_framework/main_precision only, B200, single_turn, ISL=1024, OSL=1024, output_tok_s_mw p50. Commercial workload fit factor: Claude usage is materially coding/agent/long-context oriented and no comparable production serving row is public.</t>
        </is>
      </c>
      <c r="J3794" s="3" t="inlineStr">
        <is>
          <t>SRC_ANTHROPIC_CLAUDE_DOCS; SRC_ANTHROPIC_AMAZON_COMPUTE; SRC_AWS_RAINIER_ACTIVE; SRC_SEMIANALYSIS_INFERENCEX; ASSUMP_NUMERIC_ACCELERATOR_MIX</t>
        </is>
      </c>
      <c r="K3794" s="3" t="inlineStr">
        <is>
          <t>ASSUMP_POWER_RAMP; ASSUMP_CLOSED_MODEL_BAND; ASSUMP_NUMERIC_ACCELERATOR_MIX; ASSUMP_INFERENCE_SHARE_NOT_FACT_60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69835009593600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2.5489778501664e+16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63732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h200_share*h200_reference + b200_share*b200_reference + gb200_share*gb200_reference + purpose_built_share*purpose_built_reference</t>
        </is>
      </c>
      <c r="I3809" s="3" t="inlineStr">
        <is>
          <t>Selected InferenceX proxy model: dsr1. Each GPU-generation reference is public benchmark input or documented B200 placeholder, not measured company production throughput.</t>
        </is>
      </c>
      <c r="J3809" s="3" t="inlineStr">
        <is>
          <t>SRC_SEMIANALYSIS_INFERENCEX; ASSUMP_NUMERIC_ACCELERATOR_MIX</t>
        </is>
      </c>
      <c r="K3809" s="3" t="inlineStr">
        <is>
          <t>ASSUMP_MOE_EFFICIENCY; ASSUMP_CN_CAPACITY_TRANSPARENCY; ASSUMP_NUMERIC_ACCELERATOR_MIX; ASSUMP_INFERENCE_SHARE_NOT_FACT_60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Closed-model, reasoning, long-context and SLO mismatch is made explicit rather than hiding it in the benchmark.</t>
        </is>
      </c>
      <c r="J3810" s="3" t="inlineStr">
        <is>
          <t>SRC_SEMIANALYSIS_INFERENCEX; ASSUMP_NUMERIC_ACCELERATOR_MIX</t>
        </is>
      </c>
      <c r="K3810" s="3" t="inlineStr">
        <is>
          <t>ASSUMP_MOE_EFFICIENCY; ASSUMP_CN_CAPACITY_TRANSPARENCY; ASSUMP_NUMERIC_ACCELERATOR_MIX; ASSUMP_INFERENCE_SHARE_NOT_FACT_60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54172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it is intentionally below the raw public reference unless the commercial workload is closely matched.</t>
        </is>
      </c>
      <c r="J3811" s="3" t="inlineStr">
        <is>
          <t>SRC_SEMIANALYSIS_INFERENCEX; ASSUMP_NUMERIC_ACCELERATOR_MIX</t>
        </is>
      </c>
      <c r="K3811" s="3" t="inlineStr">
        <is>
          <t>ASSUMP_MOE_EFFICIENCY; ASSUMP_CN_CAPACITY_TRANSPARENCY; ASSUMP_NUMERIC_ACCELERATOR_MIX; ASSUMP_INFERENCE_SHARE_NOT_FACT_60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55315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54172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3817" s="3" t="inlineStr">
        <is>
          <t>SRC_DEEPSEEK_V3; SRC_DEEPSEEK_R1; SRC_DEEPSEEK_H800_INFERENCE; SRC_SEMIANALYSIS_INFERENCEX; ASSUMP_NUMERIC_ACCELERATOR_MIX</t>
        </is>
      </c>
      <c r="K3817" s="3" t="inlineStr">
        <is>
          <t>ASSUMP_MOE_EFFICIENCY; ASSUMP_CN_CAPACITY_TRANSPARENCY; ASSUMP_NUMERIC_ACCELERATOR_MIX; ASSUMP_INFERENCE_SHARE_NOT_FACT_60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262105804800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95668618752000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64006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h200_share*h200_reference + b200_share*b200_reference + gb200_share*gb200_reference + purpose_built_share*purpose_built_reference</t>
        </is>
      </c>
      <c r="I3832" s="3" t="inlineStr">
        <is>
          <t>Selected InferenceX proxy model: dsr1. Each GPU-generation reference is public benchmark input or documented B200 placeholder, not measured company production throughput.</t>
        </is>
      </c>
      <c r="J3832" s="3" t="inlineStr">
        <is>
          <t>SRC_SEMIANALYSIS_INFERENCEX; ASSUMP_NUMERIC_ACCELERATOR_MIX</t>
        </is>
      </c>
      <c r="K3832" s="3" t="inlineStr">
        <is>
          <t>ASSUMP_MOE_EFFICIENCY; ASSUMP_CN_CAPACITY_TRANSPARENCY; ASSUMP_NUMERIC_ACCELERATOR_MIX; ASSUMP_INFERENCE_SHARE_NOT_FACT_60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Closed-model, reasoning, long-context and SLO mismatch is made explicit rather than hiding it in the benchmark.</t>
        </is>
      </c>
      <c r="J3833" s="3" t="inlineStr">
        <is>
          <t>SRC_SEMIANALYSIS_INFERENCEX; ASSUMP_NUMERIC_ACCELERATOR_MIX</t>
        </is>
      </c>
      <c r="K3833" s="3" t="inlineStr">
        <is>
          <t>ASSUMP_MOE_EFFICIENCY; ASSUMP_CN_CAPACITY_TRANSPARENCY; ASSUMP_NUMERIC_ACCELERATOR_MIX; ASSUMP_INFERENCE_SHARE_NOT_FACT_60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54405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it is intentionally below the raw public reference unless the commercial workload is closely matched.</t>
        </is>
      </c>
      <c r="J3834" s="3" t="inlineStr">
        <is>
          <t>SRC_SEMIANALYSIS_INFERENCEX; ASSUMP_NUMERIC_ACCELERATOR_MIX</t>
        </is>
      </c>
      <c r="K3834" s="3" t="inlineStr">
        <is>
          <t>ASSUMP_MOE_EFFICIENCY; ASSUMP_CN_CAPACITY_TRANSPARENCY; ASSUMP_NUMERIC_ACCELERATOR_MIX; ASSUMP_INFERENCE_SHARE_NOT_FACT_60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55315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54405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3840" s="3" t="inlineStr">
        <is>
          <t>SRC_DEEPSEEK_V3; SRC_DEEPSEEK_R1; SRC_DEEPSEEK_H800_INFERENCE; SRC_SEMIANALYSIS_INFERENCEX; ASSUMP_NUMERIC_ACCELERATOR_MIX</t>
        </is>
      </c>
      <c r="K3840" s="3" t="inlineStr">
        <is>
          <t>ASSUMP_MOE_EFFICIENCY; ASSUMP_CN_CAPACITY_TRANSPARENCY; ASSUMP_NUMERIC_ACCELERATOR_MIX; ASSUMP_INFERENCE_SHARE_NOT_FACT_60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747394128000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272798856720000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64282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h200_share*h200_reference + b200_share*b200_reference + gb200_share*gb200_reference + purpose_built_share*purpose_built_reference</t>
        </is>
      </c>
      <c r="I3855" s="3" t="inlineStr">
        <is>
          <t>Selected InferenceX proxy model: dsr1. Each GPU-generation reference is public benchmark input or documented B200 placeholder, not measured company production throughput.</t>
        </is>
      </c>
      <c r="J3855" s="3" t="inlineStr">
        <is>
          <t>SRC_SEMIANALYSIS_INFERENCEX; ASSUMP_NUMERIC_ACCELERATOR_MIX</t>
        </is>
      </c>
      <c r="K3855" s="3" t="inlineStr">
        <is>
          <t>ASSUMP_MOE_EFFICIENCY; ASSUMP_CN_CAPACITY_TRANSPARENCY; ASSUMP_NUMERIC_ACCELERATOR_MIX; ASSUMP_INFERENCE_SHARE_NOT_FACT_60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Closed-model, reasoning, long-context and SLO mismatch is made explicit rather than hiding it in the benchmark.</t>
        </is>
      </c>
      <c r="J3856" s="3" t="inlineStr">
        <is>
          <t>SRC_SEMIANALYSIS_INFERENCEX; ASSUMP_NUMERIC_ACCELERATOR_MIX</t>
        </is>
      </c>
      <c r="K3856" s="3" t="inlineStr">
        <is>
          <t>ASSUMP_MOE_EFFICIENCY; ASSUMP_CN_CAPACITY_TRANSPARENCY; ASSUMP_NUMERIC_ACCELERATOR_MIX; ASSUMP_INFERENCE_SHARE_NOT_FACT_60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54640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it is intentionally below the raw public reference unless the commercial workload is closely matched.</t>
        </is>
      </c>
      <c r="J3857" s="3" t="inlineStr">
        <is>
          <t>SRC_SEMIANALYSIS_INFERENCEX; ASSUMP_NUMERIC_ACCELERATOR_MIX</t>
        </is>
      </c>
      <c r="K3857" s="3" t="inlineStr">
        <is>
          <t>ASSUMP_MOE_EFFICIENCY; ASSUMP_CN_CAPACITY_TRANSPARENCY; ASSUMP_NUMERIC_ACCELERATOR_MIX; ASSUMP_INFERENCE_SHARE_NOT_FACT_60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55315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54640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3863" s="3" t="inlineStr">
        <is>
          <t>SRC_DEEPSEEK_V3; SRC_DEEPSEEK_R1; SRC_DEEPSEEK_H800_INFERENCE; SRC_SEMIANALYSIS_INFERENCEX; ASSUMP_NUMERIC_ACCELERATOR_MIX</t>
        </is>
      </c>
      <c r="K3863" s="3" t="inlineStr">
        <is>
          <t>ASSUMP_MOE_EFFICIENCY; ASSUMP_CN_CAPACITY_TRANSPARENCY; ASSUMP_NUMERIC_ACCELERATOR_MIX; ASSUMP_INFERENCE_SHARE_NOT_FACT_60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1265200128000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461798046720000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64556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h200_share*h200_reference + b200_share*b200_reference + gb200_share*gb200_reference + purpose_built_share*purpose_built_reference</t>
        </is>
      </c>
      <c r="I3878" s="3" t="inlineStr">
        <is>
          <t>Selected InferenceX proxy model: dsr1. Each GPU-generation reference is public benchmark input or documented B200 placeholder, not measured company production throughput.</t>
        </is>
      </c>
      <c r="J3878" s="3" t="inlineStr">
        <is>
          <t>SRC_SEMIANALYSIS_INFERENCEX; ASSUMP_NUMERIC_ACCELERATOR_MIX</t>
        </is>
      </c>
      <c r="K3878" s="3" t="inlineStr">
        <is>
          <t>ASSUMP_MOE_EFFICIENCY; ASSUMP_CN_CAPACITY_TRANSPARENCY; ASSUMP_NUMERIC_ACCELERATOR_MIX; ASSUMP_INFERENCE_SHARE_NOT_FACT_60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Closed-model, reasoning, long-context and SLO mismatch is made explicit rather than hiding it in the benchmark.</t>
        </is>
      </c>
      <c r="J3879" s="3" t="inlineStr">
        <is>
          <t>SRC_SEMIANALYSIS_INFERENCEX; ASSUMP_NUMERIC_ACCELERATOR_MIX</t>
        </is>
      </c>
      <c r="K3879" s="3" t="inlineStr">
        <is>
          <t>ASSUMP_MOE_EFFICIENCY; ASSUMP_CN_CAPACITY_TRANSPARENCY; ASSUMP_NUMERIC_ACCELERATOR_MIX; ASSUMP_INFERENCE_SHARE_NOT_FACT_60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54873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it is intentionally below the raw public reference unless the commercial workload is closely matched.</t>
        </is>
      </c>
      <c r="J3880" s="3" t="inlineStr">
        <is>
          <t>SRC_SEMIANALYSIS_INFERENCEX; ASSUMP_NUMERIC_ACCELERATOR_MIX</t>
        </is>
      </c>
      <c r="K3880" s="3" t="inlineStr">
        <is>
          <t>ASSUMP_MOE_EFFICIENCY; ASSUMP_CN_CAPACITY_TRANSPARENCY; ASSUMP_NUMERIC_ACCELERATOR_MIX; ASSUMP_INFERENCE_SHARE_NOT_FACT_60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55315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54873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3886" s="3" t="inlineStr">
        <is>
          <t>SRC_DEEPSEEK_V3; SRC_DEEPSEEK_R1; SRC_DEEPSEEK_H800_INFERENCE; SRC_SEMIANALYSIS_INFERENCEX; ASSUMP_NUMERIC_ACCELERATOR_MIX</t>
        </is>
      </c>
      <c r="K3886" s="3" t="inlineStr">
        <is>
          <t>ASSUMP_MOE_EFFICIENCY; ASSUMP_CN_CAPACITY_TRANSPARENCY; ASSUMP_NUMERIC_ACCELERATOR_MIX; ASSUMP_INFERENCE_SHARE_NOT_FACT_60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1796849308800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655849997712000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64832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h200_share*h200_reference + b200_share*b200_reference + gb200_share*gb200_reference + purpose_built_share*purpose_built_reference</t>
        </is>
      </c>
      <c r="I3901" s="3" t="inlineStr">
        <is>
          <t>Selected InferenceX proxy model: dsr1. Each GPU-generation reference is public benchmark input or documented B200 placeholder, not measured company production throughput.</t>
        </is>
      </c>
      <c r="J3901" s="3" t="inlineStr">
        <is>
          <t>SRC_SEMIANALYSIS_INFERENCEX; ASSUMP_NUMERIC_ACCELERATOR_MIX</t>
        </is>
      </c>
      <c r="K3901" s="3" t="inlineStr">
        <is>
          <t>ASSUMP_MOE_EFFICIENCY; ASSUMP_CN_CAPACITY_TRANSPARENCY; ASSUMP_NUMERIC_ACCELERATOR_MIX; ASSUMP_INFERENCE_SHARE_NOT_FACT_60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Closed-model, reasoning, long-context and SLO mismatch is made explicit rather than hiding it in the benchmark.</t>
        </is>
      </c>
      <c r="J3902" s="3" t="inlineStr">
        <is>
          <t>SRC_SEMIANALYSIS_INFERENCEX; ASSUMP_NUMERIC_ACCELERATOR_MIX</t>
        </is>
      </c>
      <c r="K3902" s="3" t="inlineStr">
        <is>
          <t>ASSUMP_MOE_EFFICIENCY; ASSUMP_CN_CAPACITY_TRANSPARENCY; ASSUMP_NUMERIC_ACCELERATOR_MIX; ASSUMP_INFERENCE_SHARE_NOT_FACT_60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55107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it is intentionally below the raw public reference unless the commercial workload is closely matched.</t>
        </is>
      </c>
      <c r="J3903" s="3" t="inlineStr">
        <is>
          <t>SRC_SEMIANALYSIS_INFERENCEX; ASSUMP_NUMERIC_ACCELERATOR_MIX</t>
        </is>
      </c>
      <c r="K3903" s="3" t="inlineStr">
        <is>
          <t>ASSUMP_MOE_EFFICIENCY; ASSUMP_CN_CAPACITY_TRANSPARENCY; ASSUMP_NUMERIC_ACCELERATOR_MIX; ASSUMP_INFERENCE_SHARE_NOT_FACT_60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55315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55107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Common filter: model-level main_framework/main_precision only, B200, single_turn, ISL=1024, OSL=1024, output_tok_s_mw p50. Commercial workload fit factor: DeepSeek benchmark family is matched, but commercial R1 reasoning traffic can consume more serving capacity than a fixed test.</t>
        </is>
      </c>
      <c r="J3909" s="3" t="inlineStr">
        <is>
          <t>SRC_DEEPSEEK_V3; SRC_DEEPSEEK_R1; SRC_DEEPSEEK_H800_INFERENCE; SRC_SEMIANALYSIS_INFERENCEX; ASSUMP_NUMERIC_ACCELERATOR_MIX</t>
        </is>
      </c>
      <c r="K3909" s="3" t="inlineStr">
        <is>
          <t>ASSUMP_MOE_EFFICIENCY; ASSUMP_CN_CAPACITY_TRANSPARENCY; ASSUMP_NUMERIC_ACCELERATOR_MIX; ASSUMP_INFERENCE_SHARE_NOT_FACT_60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2337771196800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853286486832000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129718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h200_share*h200_reference + b200_share*b200_reference + gb200_share*gb200_reference + purpose_built_share*purpose_built_reference</t>
        </is>
      </c>
      <c r="I3924" s="3" t="inlineStr">
        <is>
          <t>Selected InferenceX proxy model: qwen3.5. Each GPU-generation reference is public benchmark input or documented B200 placeholder, not measured company production throughput.</t>
        </is>
      </c>
      <c r="J3924" s="3" t="inlineStr">
        <is>
          <t>SRC_SEMIANALYSIS_INFERENCEX; ASSUMP_NUMERIC_ACCELERATOR_MIX</t>
        </is>
      </c>
      <c r="K3924" s="3" t="inlineStr">
        <is>
          <t>ASSUMP_MOE_EFFICIENCY; ASSUMP_CN_CAPACITY_TRANSPARENCY; ASSUMP_NUMERIC_ACCELERATOR_MIX; ASSUMP_INFERENCE_SHARE_NOT_FACT_60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Closed-model, reasoning, long-context and SLO mismatch is made explicit rather than hiding it in the benchmark.</t>
        </is>
      </c>
      <c r="J3925" s="3" t="inlineStr">
        <is>
          <t>SRC_SEMIANALYSIS_INFERENCEX; ASSUMP_NUMERIC_ACCELERATOR_MIX</t>
        </is>
      </c>
      <c r="K3925" s="3" t="inlineStr">
        <is>
          <t>ASSUMP_MOE_EFFICIENCY; ASSUMP_CN_CAPACITY_TRANSPARENCY; ASSUMP_NUMERIC_ACCELERATOR_MIX; ASSUMP_INFERENCE_SHARE_NOT_FACT_60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116746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it is intentionally below the raw public reference unless the commercial workload is closely matched.</t>
        </is>
      </c>
      <c r="J3926" s="3" t="inlineStr">
        <is>
          <t>SRC_SEMIANALYSIS_INFERENCEX; ASSUMP_NUMERIC_ACCELERATOR_MIX</t>
        </is>
      </c>
      <c r="K3926" s="3" t="inlineStr">
        <is>
          <t>ASSUMP_MOE_EFFICIENCY; ASSUMP_CN_CAPACITY_TRANSPARENCY; ASSUMP_NUMERIC_ACCELERATOR_MIX; ASSUMP_INFERENCE_SHARE_NOT_FACT_60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160508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116746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3932" s="3" t="inlineStr">
        <is>
          <t>SRC_QWEN3_GITHUB; SRC_ALIBABA_QWEN_GPU_DEPLOY; SRC_SEMIANALYSIS_INFERENCEX; ASSUMP_NUMERIC_ACCELERATOR_MIX</t>
        </is>
      </c>
      <c r="K3932" s="3" t="inlineStr">
        <is>
          <t>ASSUMP_MOE_EFFICIENCY; ASSUMP_CN_CAPACITY_TRANSPARENCY; ASSUMP_NUMERIC_ACCELERATOR_MIX; ASSUMP_INFERENCE_SHARE_NOT_FACT_60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2441018764800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890971849152000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139619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h200_share*h200_reference + b200_share*b200_reference + gb200_share*gb200_reference + purpose_built_share*purpose_built_reference</t>
        </is>
      </c>
      <c r="I3947" s="3" t="inlineStr">
        <is>
          <t>Selected InferenceX proxy model: qwen3.5. Each GPU-generation reference is public benchmark input or documented B200 placeholder, not measured company production throughput.</t>
        </is>
      </c>
      <c r="J3947" s="3" t="inlineStr">
        <is>
          <t>SRC_SEMIANALYSIS_INFERENCEX; ASSUMP_NUMERIC_ACCELERATOR_MIX</t>
        </is>
      </c>
      <c r="K3947" s="3" t="inlineStr">
        <is>
          <t>ASSUMP_MOE_EFFICIENCY; ASSUMP_CN_CAPACITY_TRANSPARENCY; ASSUMP_NUMERIC_ACCELERATOR_MIX; ASSUMP_INFERENCE_SHARE_NOT_FACT_60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Closed-model, reasoning, long-context and SLO mismatch is made explicit rather than hiding it in the benchmark.</t>
        </is>
      </c>
      <c r="J3948" s="3" t="inlineStr">
        <is>
          <t>SRC_SEMIANALYSIS_INFERENCEX; ASSUMP_NUMERIC_ACCELERATOR_MIX</t>
        </is>
      </c>
      <c r="K3948" s="3" t="inlineStr">
        <is>
          <t>ASSUMP_MOE_EFFICIENCY; ASSUMP_CN_CAPACITY_TRANSPARENCY; ASSUMP_NUMERIC_ACCELERATOR_MIX; ASSUMP_INFERENCE_SHARE_NOT_FACT_60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125657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it is intentionally below the raw public reference unless the commercial workload is closely matched.</t>
        </is>
      </c>
      <c r="J3949" s="3" t="inlineStr">
        <is>
          <t>SRC_SEMIANALYSIS_INFERENCEX; ASSUMP_NUMERIC_ACCELERATOR_MIX</t>
        </is>
      </c>
      <c r="K3949" s="3" t="inlineStr">
        <is>
          <t>ASSUMP_MOE_EFFICIENCY; ASSUMP_CN_CAPACITY_TRANSPARENCY; ASSUMP_NUMERIC_ACCELERATOR_MIX; ASSUMP_INFERENCE_SHARE_NOT_FACT_60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160508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125657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3955" s="3" t="inlineStr">
        <is>
          <t>SRC_QWEN3_GITHUB; SRC_ALIBABA_QWEN_GPU_DEPLOY; SRC_SEMIANALYSIS_INFERENCEX; ASSUMP_NUMERIC_ACCELERATOR_MIX</t>
        </is>
      </c>
      <c r="K3955" s="3" t="inlineStr">
        <is>
          <t>ASSUMP_MOE_EFFICIENCY; ASSUMP_CN_CAPACITY_TRANSPARENCY; ASSUMP_NUMERIC_ACCELERATOR_MIX; ASSUMP_INFERENCE_SHARE_NOT_FACT_60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5417525635200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1977396856848000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149609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h200_share*h200_reference + b200_share*b200_reference + gb200_share*gb200_reference + purpose_built_share*purpose_built_reference</t>
        </is>
      </c>
      <c r="I3970" s="3" t="inlineStr">
        <is>
          <t>Selected InferenceX proxy model: qwen3.5. Each GPU-generation reference is public benchmark input or documented B200 placeholder, not measured company production throughput.</t>
        </is>
      </c>
      <c r="J3970" s="3" t="inlineStr">
        <is>
          <t>SRC_SEMIANALYSIS_INFERENCEX; ASSUMP_NUMERIC_ACCELERATOR_MIX</t>
        </is>
      </c>
      <c r="K3970" s="3" t="inlineStr">
        <is>
          <t>ASSUMP_MOE_EFFICIENCY; ASSUMP_CN_CAPACITY_TRANSPARENCY; ASSUMP_NUMERIC_ACCELERATOR_MIX; ASSUMP_INFERENCE_SHARE_NOT_FACT_60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Closed-model, reasoning, long-context and SLO mismatch is made explicit rather than hiding it in the benchmark.</t>
        </is>
      </c>
      <c r="J3971" s="3" t="inlineStr">
        <is>
          <t>SRC_SEMIANALYSIS_INFERENCEX; ASSUMP_NUMERIC_ACCELERATOR_MIX</t>
        </is>
      </c>
      <c r="K3971" s="3" t="inlineStr">
        <is>
          <t>ASSUMP_MOE_EFFICIENCY; ASSUMP_CN_CAPACITY_TRANSPARENCY; ASSUMP_NUMERIC_ACCELERATOR_MIX; ASSUMP_INFERENCE_SHARE_NOT_FACT_60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134648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it is intentionally below the raw public reference unless the commercial workload is closely matched.</t>
        </is>
      </c>
      <c r="J3972" s="3" t="inlineStr">
        <is>
          <t>SRC_SEMIANALYSIS_INFERENCEX; ASSUMP_NUMERIC_ACCELERATOR_MIX</t>
        </is>
      </c>
      <c r="K3972" s="3" t="inlineStr">
        <is>
          <t>ASSUMP_MOE_EFFICIENCY; ASSUMP_CN_CAPACITY_TRANSPARENCY; ASSUMP_NUMERIC_ACCELERATOR_MIX; ASSUMP_INFERENCE_SHARE_NOT_FACT_60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160508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134648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3978" s="3" t="inlineStr">
        <is>
          <t>SRC_QWEN3_GITHUB; SRC_ALIBABA_QWEN_GPU_DEPLOY; SRC_SEMIANALYSIS_INFERENCEX; ASSUMP_NUMERIC_ACCELERATOR_MIX</t>
        </is>
      </c>
      <c r="K3978" s="3" t="inlineStr">
        <is>
          <t>ASSUMP_MOE_EFFICIENCY; ASSUMP_CN_CAPACITY_TRANSPARENCY; ASSUMP_NUMERIC_ACCELERATOR_MIX; ASSUMP_INFERENCE_SHARE_NOT_FACT_60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8934594969600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3261127163904000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159511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h200_share*h200_reference + b200_share*b200_reference + gb200_share*gb200_reference + purpose_built_share*purpose_built_reference</t>
        </is>
      </c>
      <c r="I3993" s="3" t="inlineStr">
        <is>
          <t>Selected InferenceX proxy model: qwen3.5. Each GPU-generation reference is public benchmark input or documented B200 placeholder, not measured company production throughput.</t>
        </is>
      </c>
      <c r="J3993" s="3" t="inlineStr">
        <is>
          <t>SRC_SEMIANALYSIS_INFERENCEX; ASSUMP_NUMERIC_ACCELERATOR_MIX</t>
        </is>
      </c>
      <c r="K3993" s="3" t="inlineStr">
        <is>
          <t>ASSUMP_MOE_EFFICIENCY; ASSUMP_CN_CAPACITY_TRANSPARENCY; ASSUMP_NUMERIC_ACCELERATOR_MIX; ASSUMP_INFERENCE_SHARE_NOT_FACT_60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Closed-model, reasoning, long-context and SLO mismatch is made explicit rather than hiding it in the benchmark.</t>
        </is>
      </c>
      <c r="J3994" s="3" t="inlineStr">
        <is>
          <t>SRC_SEMIANALYSIS_INFERENCEX; ASSUMP_NUMERIC_ACCELERATOR_MIX</t>
        </is>
      </c>
      <c r="K3994" s="3" t="inlineStr">
        <is>
          <t>ASSUMP_MOE_EFFICIENCY; ASSUMP_CN_CAPACITY_TRANSPARENCY; ASSUMP_NUMERIC_ACCELERATOR_MIX; ASSUMP_INFERENCE_SHARE_NOT_FACT_60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143560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it is intentionally below the raw public reference unless the commercial workload is closely matched.</t>
        </is>
      </c>
      <c r="J3995" s="3" t="inlineStr">
        <is>
          <t>SRC_SEMIANALYSIS_INFERENCEX; ASSUMP_NUMERIC_ACCELERATOR_MIX</t>
        </is>
      </c>
      <c r="K3995" s="3" t="inlineStr">
        <is>
          <t>ASSUMP_MOE_EFFICIENCY; ASSUMP_CN_CAPACITY_TRANSPARENCY; ASSUMP_NUMERIC_ACCELERATOR_MIX; ASSUMP_INFERENCE_SHARE_NOT_FACT_60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160508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143560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4001" s="3" t="inlineStr">
        <is>
          <t>SRC_QWEN3_GITHUB; SRC_ALIBABA_QWEN_GPU_DEPLOY; SRC_SEMIANALYSIS_INFERENCEX; ASSUMP_NUMERIC_ACCELERATOR_MIX</t>
        </is>
      </c>
      <c r="K4001" s="3" t="inlineStr">
        <is>
          <t>ASSUMP_MOE_EFFICIENCY; ASSUMP_CN_CAPACITY_TRANSPARENCY; ASSUMP_NUMERIC_ACCELERATOR_MIX; ASSUMP_INFERENCE_SHARE_NOT_FACT_60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12949341696000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4726509719040000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169501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h200_share*h200_reference + b200_share*b200_reference + gb200_share*gb200_reference + purpose_built_share*purpose_built_reference</t>
        </is>
      </c>
      <c r="I4016" s="3" t="inlineStr">
        <is>
          <t>Selected InferenceX proxy model: qwen3.5. Each GPU-generation reference is public benchmark input or documented B200 placeholder, not measured company production throughput.</t>
        </is>
      </c>
      <c r="J4016" s="3" t="inlineStr">
        <is>
          <t>SRC_SEMIANALYSIS_INFERENCEX; ASSUMP_NUMERIC_ACCELERATOR_MIX</t>
        </is>
      </c>
      <c r="K4016" s="3" t="inlineStr">
        <is>
          <t>ASSUMP_MOE_EFFICIENCY; ASSUMP_CN_CAPACITY_TRANSPARENCY; ASSUMP_NUMERIC_ACCELERATOR_MIX; ASSUMP_INFERENCE_SHARE_NOT_FACT_60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Closed-model, reasoning, long-context and SLO mismatch is made explicit rather than hiding it in the benchmark.</t>
        </is>
      </c>
      <c r="J4017" s="3" t="inlineStr">
        <is>
          <t>SRC_SEMIANALYSIS_INFERENCEX; ASSUMP_NUMERIC_ACCELERATOR_MIX</t>
        </is>
      </c>
      <c r="K4017" s="3" t="inlineStr">
        <is>
          <t>ASSUMP_MOE_EFFICIENCY; ASSUMP_CN_CAPACITY_TRANSPARENCY; ASSUMP_NUMERIC_ACCELERATOR_MIX; ASSUMP_INFERENCE_SHARE_NOT_FACT_60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152551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it is intentionally below the raw public reference unless the commercial workload is closely matched.</t>
        </is>
      </c>
      <c r="J4018" s="3" t="inlineStr">
        <is>
          <t>SRC_SEMIANALYSIS_INFERENCEX; ASSUMP_NUMERIC_ACCELERATOR_MIX</t>
        </is>
      </c>
      <c r="K4018" s="3" t="inlineStr">
        <is>
          <t>ASSUMP_MOE_EFFICIENCY; ASSUMP_CN_CAPACITY_TRANSPARENCY; ASSUMP_NUMERIC_ACCELERATOR_MIX; ASSUMP_INFERENCE_SHARE_NOT_FACT_60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160508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152551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Common filter: model-level main_framework/main_precision only, B200, single_turn, ISL=1024, OSL=1024, output_tok_s_mw p50. Commercial workload fit factor: Qwen benchmark family is relatively direct; remaining adjustment represents commercial context and SLO mix.</t>
        </is>
      </c>
      <c r="J4024" s="3" t="inlineStr">
        <is>
          <t>SRC_QWEN3_GITHUB; SRC_ALIBABA_QWEN_GPU_DEPLOY; SRC_SEMIANALYSIS_INFERENCEX; ASSUMP_NUMERIC_ACCELERATOR_MIX</t>
        </is>
      </c>
      <c r="K4024" s="3" t="inlineStr">
        <is>
          <t>ASSUMP_MOE_EFFICIENCY; ASSUMP_CN_CAPACITY_TRANSPARENCY; ASSUMP_NUMERIC_ACCELERATOR_MIX; ASSUMP_INFERENCE_SHARE_NOT_FACT_60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17424497260800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6359941500192000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528791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h200_share*h200_reference + b200_share*b200_reference + gb200_share*gb200_reference + purpose_built_share*purpose_built_reference</t>
        </is>
      </c>
      <c r="I4039" s="3" t="inlineStr">
        <is>
          <t>Selected InferenceX proxy model: gptoss120b. Each GPU-generation reference is public benchmark input or documented B200 placeholder, not measured company production throughput.</t>
        </is>
      </c>
      <c r="J4039" s="3" t="inlineStr">
        <is>
          <t>SRC_SEMIANALYSIS_INFERENCEX; ASSUMP_NUMERIC_ACCELERATOR_MIX</t>
        </is>
      </c>
      <c r="K4039" s="3" t="inlineStr">
        <is>
          <t>ASSUMP_CN_CAPACITY_TRANSPARENCY; ASSUMP_APP_EMBEDDING; ASSUMP_NUMERIC_ACCELERATOR_MIX; ASSUMP_INFERENCE_SHARE_NOT_FACT_60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Closed-model, reasoning, long-context and SLO mismatch is made explicit rather than hiding it in the benchmark.</t>
        </is>
      </c>
      <c r="J4040" s="3" t="inlineStr">
        <is>
          <t>SRC_SEMIANALYSIS_INFERENCEX; ASSUMP_NUMERIC_ACCELERATOR_MIX</t>
        </is>
      </c>
      <c r="K4040" s="3" t="inlineStr">
        <is>
          <t>ASSUMP_CN_CAPACITY_TRANSPARENCY; ASSUMP_APP_EMBEDDING; ASSUMP_NUMERIC_ACCELERATOR_MIX; ASSUMP_INFERENCE_SHARE_NOT_FACT_60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317275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it is intentionally below the raw public reference unless the commercial workload is closely matched.</t>
        </is>
      </c>
      <c r="J4041" s="3" t="inlineStr">
        <is>
          <t>SRC_SEMIANALYSIS_INFERENCEX; ASSUMP_NUMERIC_ACCELERATOR_MIX</t>
        </is>
      </c>
      <c r="K4041" s="3" t="inlineStr">
        <is>
          <t>ASSUMP_CN_CAPACITY_TRANSPARENCY; ASSUMP_APP_EMBEDDING; ASSUMP_NUMERIC_ACCELERATOR_MIX; ASSUMP_INFERENCE_SHARE_NOT_FACT_60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434075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317275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4047" s="3" t="inlineStr">
        <is>
          <t>SRC_TENCENT_HUNYUAN; SRC_TENCENT_HY3; SRC_TENCENT_AI_INFRA_MOE; SRC_SEMIANALYSIS_INFERENCEX; ASSUMP_NUMERIC_ACCELERATOR_MIX</t>
        </is>
      </c>
      <c r="K4047" s="3" t="inlineStr">
        <is>
          <t>ASSUMP_CN_CAPACITY_TRANSPARENCY; ASSUMP_APP_EMBEDDING; ASSUMP_NUMERIC_ACCELERATOR_MIX; ASSUMP_INFERENCE_SHARE_NOT_FACT_60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4605310080000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1680938179200000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568432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h200_share*h200_reference + b200_share*b200_reference + gb200_share*gb200_reference + purpose_built_share*purpose_built_reference</t>
        </is>
      </c>
      <c r="I4062" s="3" t="inlineStr">
        <is>
          <t>Selected InferenceX proxy model: gptoss120b. Each GPU-generation reference is public benchmark input or documented B200 placeholder, not measured company production throughput.</t>
        </is>
      </c>
      <c r="J4062" s="3" t="inlineStr">
        <is>
          <t>SRC_SEMIANALYSIS_INFERENCEX; ASSUMP_NUMERIC_ACCELERATOR_MIX</t>
        </is>
      </c>
      <c r="K4062" s="3" t="inlineStr">
        <is>
          <t>ASSUMP_CN_CAPACITY_TRANSPARENCY; ASSUMP_APP_EMBEDDING; ASSUMP_NUMERIC_ACCELERATOR_MIX; ASSUMP_INFERENCE_SHARE_NOT_FACT_60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Closed-model, reasoning, long-context and SLO mismatch is made explicit rather than hiding it in the benchmark.</t>
        </is>
      </c>
      <c r="J4063" s="3" t="inlineStr">
        <is>
          <t>SRC_SEMIANALYSIS_INFERENCEX; ASSUMP_NUMERIC_ACCELERATOR_MIX</t>
        </is>
      </c>
      <c r="K4063" s="3" t="inlineStr">
        <is>
          <t>ASSUMP_CN_CAPACITY_TRANSPARENCY; ASSUMP_APP_EMBEDDING; ASSUMP_NUMERIC_ACCELERATOR_MIX; ASSUMP_INFERENCE_SHARE_NOT_FACT_60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341059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it is intentionally below the raw public reference unless the commercial workload is closely matched.</t>
        </is>
      </c>
      <c r="J4064" s="3" t="inlineStr">
        <is>
          <t>SRC_SEMIANALYSIS_INFERENCEX; ASSUMP_NUMERIC_ACCELERATOR_MIX</t>
        </is>
      </c>
      <c r="K4064" s="3" t="inlineStr">
        <is>
          <t>ASSUMP_CN_CAPACITY_TRANSPARENCY; ASSUMP_APP_EMBEDDING; ASSUMP_NUMERIC_ACCELERATOR_MIX; ASSUMP_INFERENCE_SHARE_NOT_FACT_60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434075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341059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4070" s="3" t="inlineStr">
        <is>
          <t>SRC_TENCENT_HUNYUAN; SRC_TENCENT_HY3; SRC_TENCENT_AI_INFRA_MOE; SRC_SEMIANALYSIS_INFERENCEX; ASSUMP_NUMERIC_ACCELERATOR_MIX</t>
        </is>
      </c>
      <c r="K4070" s="3" t="inlineStr">
        <is>
          <t>ASSUMP_CN_CAPACITY_TRANSPARENCY; ASSUMP_APP_EMBEDDING; ASSUMP_NUMERIC_ACCELERATOR_MIX; ASSUMP_INFERENCE_SHARE_NOT_FACT_60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10696701628800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3904296094512000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608428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h200_share*h200_reference + b200_share*b200_reference + gb200_share*gb200_reference + purpose_built_share*purpose_built_reference</t>
        </is>
      </c>
      <c r="I4085" s="3" t="inlineStr">
        <is>
          <t>Selected InferenceX proxy model: gptoss120b. Each GPU-generation reference is public benchmark input or documented B200 placeholder, not measured company production throughput.</t>
        </is>
      </c>
      <c r="J4085" s="3" t="inlineStr">
        <is>
          <t>SRC_SEMIANALYSIS_INFERENCEX; ASSUMP_NUMERIC_ACCELERATOR_MIX</t>
        </is>
      </c>
      <c r="K4085" s="3" t="inlineStr">
        <is>
          <t>ASSUMP_CN_CAPACITY_TRANSPARENCY; ASSUMP_APP_EMBEDDING; ASSUMP_NUMERIC_ACCELERATOR_MIX; ASSUMP_INFERENCE_SHARE_NOT_FACT_60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Closed-model, reasoning, long-context and SLO mismatch is made explicit rather than hiding it in the benchmark.</t>
        </is>
      </c>
      <c r="J4086" s="3" t="inlineStr">
        <is>
          <t>SRC_SEMIANALYSIS_INFERENCEX; ASSUMP_NUMERIC_ACCELERATOR_MIX</t>
        </is>
      </c>
      <c r="K4086" s="3" t="inlineStr">
        <is>
          <t>ASSUMP_CN_CAPACITY_TRANSPARENCY; ASSUMP_APP_EMBEDDING; ASSUMP_NUMERIC_ACCELERATOR_MIX; ASSUMP_INFERENCE_SHARE_NOT_FACT_60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365057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it is intentionally below the raw public reference unless the commercial workload is closely matched.</t>
        </is>
      </c>
      <c r="J4087" s="3" t="inlineStr">
        <is>
          <t>SRC_SEMIANALYSIS_INFERENCEX; ASSUMP_NUMERIC_ACCELERATOR_MIX</t>
        </is>
      </c>
      <c r="K4087" s="3" t="inlineStr">
        <is>
          <t>ASSUMP_CN_CAPACITY_TRANSPARENCY; ASSUMP_APP_EMBEDDING; ASSUMP_NUMERIC_ACCELERATOR_MIX; ASSUMP_INFERENCE_SHARE_NOT_FACT_60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434075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365057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4093" s="3" t="inlineStr">
        <is>
          <t>SRC_TENCENT_HUNYUAN; SRC_TENCENT_HY3; SRC_TENCENT_AI_INFRA_MOE; SRC_SEMIANALYSIS_INFERENCEX; ASSUMP_NUMERIC_ACCELERATOR_MIX</t>
        </is>
      </c>
      <c r="K4093" s="3" t="inlineStr">
        <is>
          <t>ASSUMP_CN_CAPACITY_TRANSPARENCY; ASSUMP_APP_EMBEDDING; ASSUMP_NUMERIC_ACCELERATOR_MIX; ASSUMP_INFERENCE_SHARE_NOT_FACT_60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17915245286400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6539064529536000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648069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h200_share*h200_reference + b200_share*b200_reference + gb200_share*gb200_reference + purpose_built_share*purpose_built_reference</t>
        </is>
      </c>
      <c r="I4108" s="3" t="inlineStr">
        <is>
          <t>Selected InferenceX proxy model: gptoss120b. Each GPU-generation reference is public benchmark input or documented B200 placeholder, not measured company production throughput.</t>
        </is>
      </c>
      <c r="J4108" s="3" t="inlineStr">
        <is>
          <t>SRC_SEMIANALYSIS_INFERENCEX; ASSUMP_NUMERIC_ACCELERATOR_MIX</t>
        </is>
      </c>
      <c r="K4108" s="3" t="inlineStr">
        <is>
          <t>ASSUMP_CN_CAPACITY_TRANSPARENCY; ASSUMP_APP_EMBEDDING; ASSUMP_NUMERIC_ACCELERATOR_MIX; ASSUMP_INFERENCE_SHARE_NOT_FACT_60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Closed-model, reasoning, long-context and SLO mismatch is made explicit rather than hiding it in the benchmark.</t>
        </is>
      </c>
      <c r="J4109" s="3" t="inlineStr">
        <is>
          <t>SRC_SEMIANALYSIS_INFERENCEX; ASSUMP_NUMERIC_ACCELERATOR_MIX</t>
        </is>
      </c>
      <c r="K4109" s="3" t="inlineStr">
        <is>
          <t>ASSUMP_CN_CAPACITY_TRANSPARENCY; ASSUMP_APP_EMBEDDING; ASSUMP_NUMERIC_ACCELERATOR_MIX; ASSUMP_INFERENCE_SHARE_NOT_FACT_60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388841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it is intentionally below the raw public reference unless the commercial workload is closely matched.</t>
        </is>
      </c>
      <c r="J4110" s="3" t="inlineStr">
        <is>
          <t>SRC_SEMIANALYSIS_INFERENCEX; ASSUMP_NUMERIC_ACCELERATOR_MIX</t>
        </is>
      </c>
      <c r="K4110" s="3" t="inlineStr">
        <is>
          <t>ASSUMP_CN_CAPACITY_TRANSPARENCY; ASSUMP_APP_EMBEDDING; ASSUMP_NUMERIC_ACCELERATOR_MIX; ASSUMP_INFERENCE_SHARE_NOT_FACT_60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434075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388841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4116" s="3" t="inlineStr">
        <is>
          <t>SRC_TENCENT_HUNYUAN; SRC_TENCENT_HY3; SRC_TENCENT_AI_INFRA_MOE; SRC_SEMIANALYSIS_INFERENCEX; ASSUMP_NUMERIC_ACCELERATOR_MIX</t>
        </is>
      </c>
      <c r="K4116" s="3" t="inlineStr">
        <is>
          <t>ASSUMP_CN_CAPACITY_TRANSPARENCY; ASSUMP_APP_EMBEDDING; ASSUMP_NUMERIC_ACCELERATOR_MIX; ASSUMP_INFERENCE_SHARE_NOT_FACT_60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26171176809600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9552479535504000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688064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h200_share*h200_reference + b200_share*b200_reference + gb200_share*gb200_reference + purpose_built_share*purpose_built_reference</t>
        </is>
      </c>
      <c r="I4131" s="3" t="inlineStr">
        <is>
          <t>Selected InferenceX proxy model: gptoss120b. Each GPU-generation reference is public benchmark input or documented B200 placeholder, not measured company production throughput.</t>
        </is>
      </c>
      <c r="J4131" s="3" t="inlineStr">
        <is>
          <t>SRC_SEMIANALYSIS_INFERENCEX; ASSUMP_NUMERIC_ACCELERATOR_MIX</t>
        </is>
      </c>
      <c r="K4131" s="3" t="inlineStr">
        <is>
          <t>ASSUMP_CN_CAPACITY_TRANSPARENCY; ASSUMP_APP_EMBEDDING; ASSUMP_NUMERIC_ACCELERATOR_MIX; ASSUMP_INFERENCE_SHARE_NOT_FACT_60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Closed-model, reasoning, long-context and SLO mismatch is made explicit rather than hiding it in the benchmark.</t>
        </is>
      </c>
      <c r="J4132" s="3" t="inlineStr">
        <is>
          <t>SRC_SEMIANALYSIS_INFERENCEX; ASSUMP_NUMERIC_ACCELERATOR_MIX</t>
        </is>
      </c>
      <c r="K4132" s="3" t="inlineStr">
        <is>
          <t>ASSUMP_CN_CAPACITY_TRANSPARENCY; ASSUMP_APP_EMBEDDING; ASSUMP_NUMERIC_ACCELERATOR_MIX; ASSUMP_INFERENCE_SHARE_NOT_FACT_60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412838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it is intentionally below the raw public reference unless the commercial workload is closely matched.</t>
        </is>
      </c>
      <c r="J4133" s="3" t="inlineStr">
        <is>
          <t>SRC_SEMIANALYSIS_INFERENCEX; ASSUMP_NUMERIC_ACCELERATOR_MIX</t>
        </is>
      </c>
      <c r="K4133" s="3" t="inlineStr">
        <is>
          <t>ASSUMP_CN_CAPACITY_TRANSPARENCY; ASSUMP_APP_EMBEDDING; ASSUMP_NUMERIC_ACCELERATOR_MIX; ASSUMP_INFERENCE_SHARE_NOT_FACT_60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434075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412838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Common filter: model-level main_framework/main_precision only, B200, single_turn, ISL=1024, OSL=1024, output_tok_s_mw p50. Commercial workload fit factor: Hunyuan is not represented by a matched public TPS/MW row; GPT-OSS is used only as a reference ceiling.</t>
        </is>
      </c>
      <c r="J4139" s="3" t="inlineStr">
        <is>
          <t>SRC_TENCENT_HUNYUAN; SRC_TENCENT_HY3; SRC_TENCENT_AI_INFRA_MOE; SRC_SEMIANALYSIS_INFERENCEX; ASSUMP_NUMERIC_ACCELERATOR_MIX</t>
        </is>
      </c>
      <c r="K4139" s="3" t="inlineStr">
        <is>
          <t>ASSUMP_CN_CAPACITY_TRANSPARENCY; ASSUMP_APP_EMBEDDING; ASSUMP_NUMERIC_ACCELERATOR_MIX; ASSUMP_INFERENCE_SHARE_NOT_FACT_60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35348180371200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1.2902085835488e+16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328,955 -&gt; 422,395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0.020Q -&gt; 0.122Q/day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410,715 -&gt; 431,951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0.032Q -&gt; 0.136Q/day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181,602 -&gt; 180,864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0.011Q -&gt; 0.051Q/day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290,835 -&gt; 378,435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0.003Q -&gt; 0.040Q/day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264,396 -&gt; 344,032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0.014Q -&gt; 0.145Q/day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327,574 -&gt; 359,074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0.011Q -&gt; 0.092Q/day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54,172 -&gt; 55,107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0.003Q/day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116,746 -&gt; 152,551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0.003Q -&gt; 0.023Q/day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317,275 -&gt; 412,838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0.005Q -&gt; 0.047Q/day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2026-06-08T23:15:49Z</dcterms:created>
  <dcterms:modified xmlns:dcterms="http://purl.org/dc/terms/" xmlns:xsi="http://www.w3.org/2001/XMLSchema-instance" xsi:type="dcterms:W3CDTF">2026-06-08T23:15:51Z</dcterms:modified>
</cp:coreProperties>
</file>